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tenbank" sheetId="1" state="visible" r:id="rId1"/>
    <sheet name="Entwicklu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28">
    <font>
      <name val="Aptos Narrow"/>
      <color theme="1"/>
      <sz val="11"/>
    </font>
    <font>
      <name val="Aptos Narrow"/>
      <color theme="1"/>
      <sz val="11"/>
    </font>
    <font>
      <name val="Aptos Narrow"/>
      <color theme="1"/>
      <sz val="12"/>
    </font>
    <font>
      <name val="Aptos Narrow"/>
      <color theme="1"/>
      <sz val="11"/>
    </font>
    <font>
      <name val="Aptos Narrow"/>
      <color theme="1"/>
      <sz val="11"/>
    </font>
    <font>
      <name val="Arial"/>
      <color theme="1"/>
      <sz val="12"/>
    </font>
    <font>
      <name val="Arial"/>
      <color theme="1"/>
      <sz val="11"/>
    </font>
    <font>
      <name val="Aptos Narrow"/>
      <color theme="10"/>
      <sz val="11"/>
    </font>
    <font>
      <name val="Aptos Narrow"/>
      <color theme="1"/>
      <sz val="11"/>
    </font>
    <font>
      <name val="Aptos Narrow"/>
      <color theme="2" tint="-0.249977111117893"/>
      <sz val="11"/>
    </font>
    <font>
      <name val="Aptos Narrow"/>
      <color theme="2" tint="-0.249977111117893"/>
      <sz val="11"/>
    </font>
    <font>
      <name val="Arial"/>
      <color theme="1"/>
      <sz val="12"/>
    </font>
    <font>
      <name val="Aptos Narrow"/>
      <color theme="2" tint="-0.3499862666707358"/>
      <sz val="11"/>
    </font>
    <font>
      <name val="Aptos Narrow"/>
      <color theme="2" tint="-0.3499862666707358"/>
      <sz val="11"/>
    </font>
    <font>
      <name val="Aptos Narrow"/>
      <color theme="1"/>
      <sz val="12"/>
    </font>
    <font>
      <name val="Arial"/>
      <color theme="2" tint="-0.3499862666707358"/>
      <sz val="12"/>
    </font>
    <font>
      <name val="Aptos Narrow"/>
      <color theme="2" tint="-0.3499862666707358"/>
      <sz val="11"/>
    </font>
    <font>
      <name val="Arial"/>
      <color theme="2" tint="-0.3499862666707358"/>
      <sz val="11"/>
    </font>
    <font>
      <name val="Aptos Narrow"/>
      <b val="1"/>
      <color rgb="FFFFFFFF"/>
      <sz val="11"/>
    </font>
    <font>
      <name val="Aptos Narrow"/>
      <i val="1"/>
      <color rgb="FF334155"/>
      <sz val="11"/>
    </font>
    <font>
      <name val="Aptos Narrow"/>
      <b val="1"/>
      <color rgb="FF17324D"/>
      <sz val="11"/>
    </font>
    <font>
      <name val="Aptos Narrow"/>
      <b val="1"/>
      <color rgb="FF0F172A"/>
      <sz val="11"/>
    </font>
    <font>
      <name val="Aptos Narrow"/>
      <b val="1"/>
      <color rgb="FF0F766E"/>
      <sz val="11"/>
    </font>
    <font>
      <name val="Aptos Narrow"/>
      <color rgb="FF1F2937"/>
      <sz val="11"/>
    </font>
    <font>
      <name val="Aptos Narrow"/>
      <color rgb="FF475569"/>
      <sz val="11"/>
    </font>
    <font>
      <name val="Aptos Narrow"/>
      <family val="2"/>
      <color theme="1"/>
      <sz val="11"/>
    </font>
    <font>
      <name val="Aptos Narrow"/>
      <family val="2"/>
      <color theme="2" tint="-0.3499862666707358"/>
      <sz val="12"/>
    </font>
    <font>
      <name val="Aptos Narrow"/>
      <family val="2"/>
      <color theme="2" tint="-0.3499862666707358"/>
      <sz val="11"/>
    </font>
  </fonts>
  <fills count="8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1F7"/>
      </patternFill>
    </fill>
    <fill>
      <patternFill patternType="solid">
        <fgColor rgb="FFDCE8F2"/>
      </patternFill>
    </fill>
    <fill>
      <patternFill patternType="solid">
        <fgColor rgb="FFFFFFFF"/>
      </patternFill>
    </fill>
    <fill>
      <patternFill patternType="solid">
        <fgColor rgb="FFE6F4F1"/>
      </patternFill>
    </fill>
    <fill>
      <patternFill patternType="solid">
        <fgColor rgb="FFF8FAFC"/>
      </patternFill>
    </fill>
  </fills>
  <borders count="33">
    <border>
      <left/>
      <right/>
      <top/>
      <bottom/>
      <diagonal/>
    </border>
    <border>
      <left style="thin">
        <color rgb="FFB8C7D6"/>
      </left>
      <right/>
      <top style="thin">
        <color rgb="FFB8C7D6"/>
      </top>
      <bottom/>
      <diagonal/>
    </border>
    <border>
      <left/>
      <right/>
      <top style="thin">
        <color rgb="FFB8C7D6"/>
      </top>
      <bottom/>
      <diagonal/>
    </border>
    <border>
      <left/>
      <right style="thin">
        <color rgb="FFB8C7D6"/>
      </right>
      <top style="thin">
        <color rgb="FFB8C7D6"/>
      </top>
      <bottom/>
      <diagonal/>
    </border>
    <border>
      <left style="thin">
        <color rgb="FFB8C7D6"/>
      </left>
      <right/>
      <top/>
      <bottom style="thin">
        <color rgb="FFB8C7D6"/>
      </bottom>
      <diagonal/>
    </border>
    <border>
      <left/>
      <right/>
      <top/>
      <bottom style="thin">
        <color rgb="FFB8C7D6"/>
      </bottom>
      <diagonal/>
    </border>
    <border>
      <left/>
      <right style="thin">
        <color rgb="FFB8C7D6"/>
      </right>
      <top/>
      <bottom style="thin">
        <color rgb="FFB8C7D6"/>
      </bottom>
      <diagonal/>
    </border>
    <border>
      <left style="thin">
        <color rgb="FF17324D"/>
      </left>
      <right/>
      <top style="thin">
        <color rgb="FF17324D"/>
      </top>
      <bottom style="thin">
        <color rgb="FF17324D"/>
      </bottom>
      <diagonal/>
    </border>
    <border>
      <left/>
      <right/>
      <top style="thin">
        <color rgb="FF17324D"/>
      </top>
      <bottom style="thin">
        <color rgb="FF17324D"/>
      </bottom>
      <diagonal/>
    </border>
    <border>
      <left/>
      <right style="thin">
        <color rgb="FF17324D"/>
      </right>
      <top style="thin">
        <color rgb="FF17324D"/>
      </top>
      <bottom style="thin">
        <color rgb="FF17324D"/>
      </bottom>
      <diagonal/>
    </border>
    <border>
      <left style="thin">
        <color rgb="FF9FB2C3"/>
      </left>
      <right/>
      <top/>
      <bottom style="thin">
        <color rgb="FFD9E2EA"/>
      </bottom>
      <diagonal/>
    </border>
    <border>
      <left/>
      <right/>
      <top/>
      <bottom style="thin">
        <color rgb="FFD9E2EA"/>
      </bottom>
      <diagonal/>
    </border>
    <border>
      <left/>
      <right style="thin">
        <color rgb="FF9FB2C3"/>
      </right>
      <top/>
      <bottom style="thin">
        <color rgb="FFD9E2EA"/>
      </bottom>
      <diagonal/>
    </border>
    <border>
      <left style="thin">
        <color rgb="FF9FB2C3"/>
      </left>
      <right/>
      <top style="thin">
        <color rgb="FFD9E2EA"/>
      </top>
      <bottom style="thin">
        <color rgb="FFD9E2EA"/>
      </bottom>
      <diagonal/>
    </border>
    <border>
      <left/>
      <right/>
      <top style="thin">
        <color rgb="FFD9E2EA"/>
      </top>
      <bottom style="thin">
        <color rgb="FFD9E2EA"/>
      </bottom>
      <diagonal/>
    </border>
    <border>
      <left/>
      <right style="thin">
        <color rgb="FF9FB2C3"/>
      </right>
      <top style="thin">
        <color rgb="FFD9E2EA"/>
      </top>
      <bottom style="thin">
        <color rgb="FFD9E2EA"/>
      </bottom>
      <diagonal/>
    </border>
    <border>
      <left style="thin">
        <color rgb="FF0F766E"/>
      </left>
      <right/>
      <top style="medium">
        <color rgb="FF0F766E"/>
      </top>
      <bottom style="thin">
        <color rgb="FF0F766E"/>
      </bottom>
      <diagonal/>
    </border>
    <border>
      <left/>
      <right/>
      <top style="medium">
        <color rgb="FF0F766E"/>
      </top>
      <bottom style="thin">
        <color rgb="FF0F766E"/>
      </bottom>
      <diagonal/>
    </border>
    <border>
      <left/>
      <right style="thin">
        <color rgb="FF0F766E"/>
      </right>
      <top style="medium">
        <color rgb="FF0F766E"/>
      </top>
      <bottom style="thin">
        <color rgb="FF0F766E"/>
      </bottom>
      <diagonal/>
    </border>
    <border>
      <left style="thin">
        <color rgb="FFD9E2EA"/>
      </left>
      <right/>
      <top style="thin">
        <color rgb="FFD9E2EA"/>
      </top>
      <bottom/>
      <diagonal/>
    </border>
    <border>
      <left/>
      <right/>
      <top style="thin">
        <color rgb="FFD9E2EA"/>
      </top>
      <bottom/>
      <diagonal/>
    </border>
    <border>
      <left/>
      <right style="thin">
        <color rgb="FFD9E2EA"/>
      </right>
      <top style="thin">
        <color rgb="FFD9E2EA"/>
      </top>
      <bottom/>
      <diagonal/>
    </border>
    <border>
      <left style="thin">
        <color rgb="FFD9E2EA"/>
      </left>
      <right/>
      <top/>
      <bottom style="thin">
        <color rgb="FFD9E2EA"/>
      </bottom>
      <diagonal/>
    </border>
    <border>
      <left/>
      <right style="thin">
        <color rgb="FFD9E2EA"/>
      </right>
      <top/>
      <bottom style="thin">
        <color rgb="FFD9E2EA"/>
      </bottom>
      <diagonal/>
    </border>
    <border>
      <left style="thin">
        <color rgb="FFB8C7D6"/>
      </left>
      <right/>
      <top style="thin">
        <color rgb="FFB8C7D6"/>
      </top>
      <bottom style="thin">
        <color rgb="FFB8C7D6"/>
      </bottom>
      <diagonal/>
    </border>
    <border>
      <left style="thin">
        <color rgb="FFB8C7D6"/>
      </left>
      <right/>
      <top/>
      <bottom/>
      <diagonal/>
    </border>
    <border>
      <left/>
      <right/>
      <top style="thin">
        <color rgb="FFB8C7D6"/>
      </top>
      <bottom style="thin">
        <color rgb="FFB8C7D6"/>
      </bottom>
      <diagonal/>
    </border>
    <border>
      <left/>
      <right style="thin">
        <color rgb="FFB8C7D6"/>
      </right>
      <top style="thin">
        <color rgb="FFB8C7D6"/>
      </top>
      <bottom style="thin">
        <color rgb="FFB8C7D6"/>
      </bottom>
      <diagonal/>
    </border>
    <border>
      <left/>
      <right style="thin">
        <color rgb="FFB8C7D6"/>
      </right>
      <top/>
      <bottom/>
      <diagonal/>
    </border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 style="thin">
        <color rgb="FFD9E2EA"/>
      </left>
      <right/>
      <top/>
      <bottom/>
      <diagonal/>
    </border>
    <border>
      <left/>
      <right style="thin">
        <color rgb="FFD9E2EA"/>
      </right>
      <top/>
      <bottom/>
      <diagonal/>
    </border>
  </borders>
  <cellStyleXfs count="2">
    <xf numFmtId="0" fontId="8" fillId="0" borderId="0"/>
    <xf numFmtId="0" fontId="7" fillId="0" borderId="0"/>
  </cellStyleXfs>
  <cellXfs count="8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1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1" fontId="21" fillId="5" borderId="5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1" fontId="23" fillId="5" borderId="10" applyAlignment="1" pivotButton="0" quotePrefix="0" xfId="0">
      <alignment horizontal="center" vertical="center"/>
    </xf>
    <xf numFmtId="1" fontId="23" fillId="5" borderId="11" applyAlignment="1" pivotButton="0" quotePrefix="0" xfId="0">
      <alignment horizontal="center" vertical="center"/>
    </xf>
    <xf numFmtId="1" fontId="23" fillId="5" borderId="12" applyAlignment="1" pivotButton="0" quotePrefix="0" xfId="0">
      <alignment horizontal="center" vertical="center"/>
    </xf>
    <xf numFmtId="1" fontId="23" fillId="5" borderId="13" applyAlignment="1" pivotButton="0" quotePrefix="0" xfId="0">
      <alignment horizontal="center" vertical="center"/>
    </xf>
    <xf numFmtId="1" fontId="23" fillId="5" borderId="14" applyAlignment="1" pivotButton="0" quotePrefix="0" xfId="0">
      <alignment horizontal="center" vertical="center"/>
    </xf>
    <xf numFmtId="1" fontId="23" fillId="5" borderId="15" applyAlignment="1" pivotButton="0" quotePrefix="0" xfId="0">
      <alignment horizontal="center" vertical="center"/>
    </xf>
    <xf numFmtId="1" fontId="22" fillId="6" borderId="16" applyAlignment="1" pivotButton="0" quotePrefix="0" xfId="0">
      <alignment horizontal="center" vertical="center"/>
    </xf>
    <xf numFmtId="1" fontId="22" fillId="6" borderId="17" applyAlignment="1" pivotButton="0" quotePrefix="0" xfId="0">
      <alignment horizontal="center" vertical="center"/>
    </xf>
    <xf numFmtId="1" fontId="22" fillId="6" borderId="18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64" fontId="27" fillId="0" borderId="0" applyAlignment="1" pivotButton="0" quotePrefix="0" xfId="0">
      <alignment horizontal="center" vertical="center"/>
    </xf>
    <xf numFmtId="164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5" fillId="0" borderId="0" applyAlignment="1" pivotButton="0" quotePrefix="0" xfId="0">
      <alignment horizontal="center" vertical="center" wrapText="1"/>
    </xf>
    <xf numFmtId="1" fontId="21" fillId="5" borderId="2" applyAlignment="1" pivotButton="0" quotePrefix="0" xfId="0">
      <alignment horizontal="center" vertical="center"/>
    </xf>
    <xf numFmtId="1" fontId="21" fillId="5" borderId="3" applyAlignment="1" pivotButton="0" quotePrefix="0" xfId="0">
      <alignment horizontal="center" vertical="center"/>
    </xf>
    <xf numFmtId="1" fontId="21" fillId="5" borderId="5" applyAlignment="1" pivotButton="0" quotePrefix="0" xfId="0">
      <alignment horizontal="center" vertical="center"/>
    </xf>
    <xf numFmtId="1" fontId="21" fillId="5" borderId="6" applyAlignment="1" pivotButton="0" quotePrefix="0" xfId="0">
      <alignment horizontal="center" vertical="center"/>
    </xf>
    <xf numFmtId="9" fontId="22" fillId="5" borderId="1" applyAlignment="1" pivotButton="0" quotePrefix="0" xfId="0">
      <alignment horizontal="center" vertical="center"/>
    </xf>
    <xf numFmtId="9" fontId="22" fillId="5" borderId="2" applyAlignment="1" pivotButton="0" quotePrefix="0" xfId="0">
      <alignment horizontal="center" vertical="center"/>
    </xf>
    <xf numFmtId="9" fontId="22" fillId="5" borderId="3" applyAlignment="1" pivotButton="0" quotePrefix="0" xfId="0">
      <alignment horizontal="center" vertical="center"/>
    </xf>
    <xf numFmtId="9" fontId="22" fillId="5" borderId="4" applyAlignment="1" pivotButton="0" quotePrefix="0" xfId="0">
      <alignment horizontal="center" vertical="center"/>
    </xf>
    <xf numFmtId="9" fontId="22" fillId="5" borderId="5" applyAlignment="1" pivotButton="0" quotePrefix="0" xfId="0">
      <alignment horizontal="center" vertical="center"/>
    </xf>
    <xf numFmtId="9" fontId="22" fillId="5" borderId="6" applyAlignment="1" pivotButton="0" quotePrefix="0" xfId="0">
      <alignment horizontal="center" vertical="center"/>
    </xf>
    <xf numFmtId="0" fontId="24" fillId="7" borderId="19" applyAlignment="1" pivotButton="0" quotePrefix="0" xfId="0">
      <alignment horizontal="left" vertical="center" wrapText="1"/>
    </xf>
    <xf numFmtId="0" fontId="24" fillId="7" borderId="20" applyAlignment="1" pivotButton="0" quotePrefix="0" xfId="0">
      <alignment horizontal="left" vertical="center" wrapText="1"/>
    </xf>
    <xf numFmtId="0" fontId="24" fillId="7" borderId="21" applyAlignment="1" pivotButton="0" quotePrefix="0" xfId="0">
      <alignment horizontal="left" vertical="center" wrapText="1"/>
    </xf>
    <xf numFmtId="0" fontId="24" fillId="7" borderId="22" applyAlignment="1" pivotButton="0" quotePrefix="0" xfId="0">
      <alignment horizontal="left" vertical="center" wrapText="1"/>
    </xf>
    <xf numFmtId="0" fontId="24" fillId="7" borderId="11" applyAlignment="1" pivotButton="0" quotePrefix="0" xfId="0">
      <alignment horizontal="left" vertical="center" wrapText="1"/>
    </xf>
    <xf numFmtId="0" fontId="24" fillId="7" borderId="23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left" vertical="center"/>
    </xf>
    <xf numFmtId="0" fontId="20" fillId="4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164" fontId="20" fillId="0" borderId="0" applyAlignment="1" pivotButton="0" quotePrefix="0" xfId="0">
      <alignment horizontal="right" vertical="center"/>
    </xf>
    <xf numFmtId="1" fontId="21" fillId="5" borderId="1" applyAlignment="1" pivotButton="0" quotePrefix="0" xfId="0">
      <alignment horizontal="center" vertical="center"/>
    </xf>
    <xf numFmtId="1" fontId="21" fillId="5" borderId="4" applyAlignment="1" pivotButton="0" quotePrefix="0" xfId="0">
      <alignment horizontal="center" vertical="center"/>
    </xf>
    <xf numFmtId="1" fontId="21" fillId="5" borderId="24" applyAlignment="1" pivotButton="0" quotePrefix="0" xfId="0">
      <alignment horizontal="center" vertical="center"/>
    </xf>
    <xf numFmtId="0" fontId="0" fillId="0" borderId="2" pivotButton="0" quotePrefix="0" xfId="0"/>
    <xf numFmtId="1" fontId="21" fillId="5" borderId="26" applyAlignment="1" pivotButton="0" quotePrefix="0" xfId="0">
      <alignment horizontal="center" vertical="center"/>
    </xf>
    <xf numFmtId="1" fontId="21" fillId="5" borderId="27" applyAlignment="1" pivotButton="0" quotePrefix="0" xfId="0">
      <alignment horizontal="center" vertical="center"/>
    </xf>
    <xf numFmtId="0" fontId="0" fillId="0" borderId="3" pivotButton="0" quotePrefix="0" xfId="0"/>
    <xf numFmtId="9" fontId="22" fillId="5" borderId="2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4" fillId="7" borderId="30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1" pivotButton="0" quotePrefix="0" xfId="0"/>
    <xf numFmtId="0" fontId="0" fillId="0" borderId="23" pivotButton="0" quotePrefix="0" xfId="0"/>
  </cellXfs>
  <cellStyles count="2">
    <cellStyle name="Standard" xfId="0" builtinId="0"/>
    <cellStyle name="Link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de-DE" sz="975"/>
              <a:t>Erfasste Insolvenzverfahren nach Jahr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Neue Verfahren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Entwicklung!$A$11:$A$21</f>
              <numCache>
                <formatCode>0</formatCode>
                <ptCount val="11"/>
                <pt idx="0">
                  <v>2016</v>
                </pt>
                <pt idx="1">
                  <v>2017</v>
                </pt>
                <pt idx="2">
                  <v>2018</v>
                </pt>
                <pt idx="3">
                  <v>2019</v>
                </pt>
                <pt idx="4">
                  <v>2020</v>
                </pt>
                <pt idx="5">
                  <v>2021</v>
                </pt>
                <pt idx="6">
                  <v>2022</v>
                </pt>
                <pt idx="7">
                  <v>2023</v>
                </pt>
                <pt idx="8">
                  <v>2024</v>
                </pt>
                <pt idx="9">
                  <v>2025</v>
                </pt>
                <pt idx="10">
                  <v>2026</v>
                </pt>
              </numCache>
            </numRef>
          </cat>
          <val>
            <numRef>
              <f>Entwicklung!$B$11:$B$21</f>
              <numCache>
                <formatCode>0</formatCode>
                <ptCount val="11"/>
                <pt idx="0">
                  <v>1</v>
                </pt>
                <pt idx="1">
                  <v>0</v>
                </pt>
                <pt idx="2">
                  <v>1</v>
                </pt>
                <pt idx="3">
                  <v>0</v>
                </pt>
                <pt idx="4">
                  <v>0</v>
                </pt>
                <pt idx="5">
                  <v>2</v>
                </pt>
                <pt idx="6">
                  <v>1</v>
                </pt>
                <pt idx="7">
                  <v>7</v>
                </pt>
                <pt idx="8">
                  <v>11</v>
                </pt>
                <pt idx="9">
                  <v>12</v>
                </pt>
                <pt idx="10">
                  <v>16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/>
              <a:lstStyle/>
              <a:p>
                <a:r>
                  <a:rPr lang="de-DE"/>
                  <a:t>Jahr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txPr>
          <a:bodyPr anchorCtr="1"/>
          <a:lstStyle/>
          <a:p>
            <a:pPr>
              <a:defRPr sz="750"/>
            </a:pPr>
            <a:r>
              <a:t/>
            </a:r>
            <a:endParaRPr lang="de-DE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  <min val="0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/>
              <a:lstStyle/>
              <a:p>
                <a:r>
                  <a:rPr lang="de-DE"/>
                  <a:t>Anzahl Verfahren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txPr>
          <a:bodyPr anchorCtr="1"/>
          <a:lstStyle/>
          <a:p>
            <a:pPr>
              <a:defRPr sz="750"/>
            </a:pPr>
            <a:r>
              <a:t/>
            </a:r>
            <a:endParaRPr lang="de-DE"/>
          </a:p>
        </txPr>
        <crossAx val="48650112"/>
        <crosses val="autoZero"/>
        <crossBetween val="between"/>
      </valAx>
    </plotArea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0</colOff>
      <row>9</row>
      <rowOff>0</rowOff>
    </from>
    <to>
      <col>12</col>
      <colOff>0</colOff>
      <row>22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InsolvenzenTabelle" displayName="InsolvenzenTabelle" ref="A1:J52" headerRowCount="1" totalsRowShown="0">
  <autoFilter ref="A1:J52">
    <filterColumn colId="0" hiddenButton="1" showButton="0"/>
    <filterColumn colId="3" hiddenButton="1" showButton="0"/>
    <filterColumn colId="4" hiddenButton="1" showButton="0"/>
    <filterColumn colId="5" hiddenButton="1" showButton="0"/>
    <filterColumn colId="6" hiddenButton="1" showButton="0"/>
    <filterColumn colId="7" hiddenButton="1" showButton="0"/>
    <filterColumn colId="8" hiddenButton="1" showButton="0"/>
    <filterColumn colId="9" hiddenButton="1" showButton="0"/>
  </autoFilter>
  <sortState ref="A2:J52">
    <sortCondition descending="1" ref="C1:C52"/>
  </sortState>
  <tableColumns count="10">
    <tableColumn id="1" name="Firma"/>
    <tableColumn id="2" name="erste Veröffentlichung"/>
    <tableColumn id="3" name="letzte Veröffentlichung"/>
    <tableColumn id="4" name="Inhalt letzte Veröffentlichung"/>
    <tableColumn id="5" name="Sitz"/>
    <tableColumn id="6" name="Bundesland"/>
    <tableColumn id="7" name="GF"/>
    <tableColumn id="8" name="Insolvenzverwalter"/>
    <tableColumn id="9" name="Details"/>
    <tableColumn id="10" name="mehr Detail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insolvenz-radar.de/company/kWEkQjwZly/" TargetMode="External" Id="rId1" /><Relationship Type="http://schemas.openxmlformats.org/officeDocument/2006/relationships/hyperlink" Target="https://www.northdata.de/R+&amp;+S+Intensivpflege+und+Nachsorge+GmbH" TargetMode="External" Id="rId2" /><Relationship Type="http://schemas.openxmlformats.org/officeDocument/2006/relationships/hyperlink" Target="https://app.insolvenz-radar.de/company/8oELk8qpYX/" TargetMode="External" Id="rId3" /><Relationship Type="http://schemas.openxmlformats.org/officeDocument/2006/relationships/hyperlink" Target="https://www.northdata.de/Intensiv+Leben+GmbH" TargetMode="External" Id="rId4" /><Relationship Type="http://schemas.openxmlformats.org/officeDocument/2006/relationships/hyperlink" Target="https://app.insolvenz-radar.de/company/e0ljbzvml3/" TargetMode="External" Id="rId5" /><Relationship Type="http://schemas.openxmlformats.org/officeDocument/2006/relationships/hyperlink" Target="https://www.northdata.de/NOTI+Intensivpflege+GmbH" TargetMode="External" Id="rId6" /><Relationship Type="http://schemas.openxmlformats.org/officeDocument/2006/relationships/hyperlink" Target="https://neu.insolvenzbekanntmachungen.de/ap/" TargetMode="External" Id="rId7" /><Relationship Type="http://schemas.openxmlformats.org/officeDocument/2006/relationships/hyperlink" Target="https://www.northdata.de/Forum+Pflege+Mayen-Koblenz+GmbH" TargetMode="External" Id="rId8" /><Relationship Type="http://schemas.openxmlformats.org/officeDocument/2006/relationships/hyperlink" Target="https://app.insolvenz-radar.de/company/g1avxLpZYW/" TargetMode="External" Id="rId9" /><Relationship Type="http://schemas.openxmlformats.org/officeDocument/2006/relationships/hyperlink" Target="https://www.northdata.de/Luna+Ambulanter+Intensivpflegedienst+MV+GmbH" TargetMode="External" Id="rId10" /><Relationship Type="http://schemas.openxmlformats.org/officeDocument/2006/relationships/hyperlink" Target="https://app.insolvenz-radar.de/company/vka40pRPaN/" TargetMode="External" Id="rId11" /><Relationship Type="http://schemas.openxmlformats.org/officeDocument/2006/relationships/hyperlink" Target="https://www.northdata.de/Konstant+AIP+Ambulante+Intensivpflege+GmbH" TargetMode="External" Id="rId12" /><Relationship Type="http://schemas.openxmlformats.org/officeDocument/2006/relationships/hyperlink" Target="https://app.insolvenz-radar.de/company/y3lQ49WWaG/" TargetMode="External" Id="rId13" /><Relationship Type="http://schemas.openxmlformats.org/officeDocument/2006/relationships/hyperlink" Target="https://www.northdata.de/Intensiv+Ambulant+Daheim+GmbH" TargetMode="External" Id="rId14" /><Relationship Type="http://schemas.openxmlformats.org/officeDocument/2006/relationships/hyperlink" Target="https://www.pflegemarkt.com/news/veraenderungen/pflegewerk-berlin-insolvent/" TargetMode="External" Id="rId15" /><Relationship Type="http://schemas.openxmlformats.org/officeDocument/2006/relationships/hyperlink" Target="https://www.northdata.de/Pflegewerk+Berlin+GmbH" TargetMode="External" Id="rId16" /><Relationship Type="http://schemas.openxmlformats.org/officeDocument/2006/relationships/hyperlink" Target="https://app.insolvenz-radar.de/company/0glZQgPaXM/" TargetMode="External" Id="rId17" /><Relationship Type="http://schemas.openxmlformats.org/officeDocument/2006/relationships/hyperlink" Target="https://www.northdata.de/Intensiv+Filter+Himenviro+GmbH" TargetMode="External" Id="rId18" /><Relationship Type="http://schemas.openxmlformats.org/officeDocument/2006/relationships/hyperlink" Target="https://app.insolvenz-radar.de/company/vxYWrWDvl1/" TargetMode="External" Id="rId19" /><Relationship Type="http://schemas.openxmlformats.org/officeDocument/2006/relationships/hyperlink" Target="https://www.northdata.de/Forum+Pflege+Intensiv+GmbH" TargetMode="External" Id="rId20" /><Relationship Type="http://schemas.openxmlformats.org/officeDocument/2006/relationships/hyperlink" Target="https://app.insolvenz-radar.de/company/8oELxJv8EX/" TargetMode="External" Id="rId21" /><Relationship Type="http://schemas.openxmlformats.org/officeDocument/2006/relationships/hyperlink" Target="https://www.northdata.de/Home+Care+Intensivpflege+GmbH+&amp;+Co.+KG" TargetMode="External" Id="rId22" /><Relationship Type="http://schemas.openxmlformats.org/officeDocument/2006/relationships/hyperlink" Target="https://app.insolvenz-radar.de/company/gvlAvwgDYy/" TargetMode="External" Id="rId23" /><Relationship Type="http://schemas.openxmlformats.org/officeDocument/2006/relationships/hyperlink" Target="https://www.northdata.de/SRP+intensiv-Transport+GmbH+&amp;+Co+KG" TargetMode="External" Id="rId24" /><Relationship Type="http://schemas.openxmlformats.org/officeDocument/2006/relationships/hyperlink" Target="https://app.insolvenz-radar.de/company/60YBPeX6az/" TargetMode="External" Id="rId25" /><Relationship Type="http://schemas.openxmlformats.org/officeDocument/2006/relationships/hyperlink" Target="https://www.northdata.de/AirHome+Intensivpflege+GmbH" TargetMode="External" Id="rId26" /><Relationship Type="http://schemas.openxmlformats.org/officeDocument/2006/relationships/hyperlink" Target="https://app.insolvenz-radar.de/company/NWaz32ODlR/" TargetMode="External" Id="rId27" /><Relationship Type="http://schemas.openxmlformats.org/officeDocument/2006/relationships/hyperlink" Target="https://www.northdata.de/KIPFL+-+KinderIntensivPflegedienst+GmbH" TargetMode="External" Id="rId28" /><Relationship Type="http://schemas.openxmlformats.org/officeDocument/2006/relationships/hyperlink" Target="https://app.insolvenz-radar.de/company/e0ljbG5jl3/" TargetMode="External" Id="rId29" /><Relationship Type="http://schemas.openxmlformats.org/officeDocument/2006/relationships/hyperlink" Target="https://www.northdata.de/SaiKo+Intensivpflege+GmbH" TargetMode="External" Id="rId30" /><Relationship Type="http://schemas.openxmlformats.org/officeDocument/2006/relationships/hyperlink" Target="https://app.insolvenz-radar.de/company/87aoGGxGar/" TargetMode="External" Id="rId31" /><Relationship Type="http://schemas.openxmlformats.org/officeDocument/2006/relationships/hyperlink" Target="https://www.northdata.de/Intensivpflegeteam+Pfaffenwinkel+GmbH" TargetMode="External" Id="rId32" /><Relationship Type="http://schemas.openxmlformats.org/officeDocument/2006/relationships/hyperlink" Target="https://app.insolvenz-radar.de/company/xVab8Xz7Y4/" TargetMode="External" Id="rId33" /><Relationship Type="http://schemas.openxmlformats.org/officeDocument/2006/relationships/hyperlink" Target="https://www.northdata.de/Care+Intensiv+24+GmbH" TargetMode="External" Id="rId34" /><Relationship Type="http://schemas.openxmlformats.org/officeDocument/2006/relationships/hyperlink" Target="https://app.insolvenz-radar.de/company/xGY0gZ97l8/" TargetMode="External" Id="rId35" /><Relationship Type="http://schemas.openxmlformats.org/officeDocument/2006/relationships/hyperlink" Target="https://www.northdata.de/Medi+Plus+UG+(haftungsbeschr&#228;nkt)+Intensivpflegedienst" TargetMode="External" Id="rId36" /><Relationship Type="http://schemas.openxmlformats.org/officeDocument/2006/relationships/hyperlink" Target="https://app.insolvenz-radar.de/company/zPlmLPbDaw/" TargetMode="External" Id="rId37" /><Relationship Type="http://schemas.openxmlformats.org/officeDocument/2006/relationships/hyperlink" Target="https://www.northdata.de/CareWell+Intensivpflege+GmbH" TargetMode="External" Id="rId38" /><Relationship Type="http://schemas.openxmlformats.org/officeDocument/2006/relationships/hyperlink" Target="https://neu.insolvenzbekanntmachungen.de/ap/" TargetMode="External" Id="rId39" /><Relationship Type="http://schemas.openxmlformats.org/officeDocument/2006/relationships/hyperlink" Target="https://www.northdata.de/Forum+Pflege+Westerwald+GmbH" TargetMode="External" Id="rId40" /><Relationship Type="http://schemas.openxmlformats.org/officeDocument/2006/relationships/hyperlink" Target="https://app.insolvenz-radar.de/company/xVab6BK5a4/" TargetMode="External" Id="rId41" /><Relationship Type="http://schemas.openxmlformats.org/officeDocument/2006/relationships/hyperlink" Target="https://www.northdata.de/Bergische+Intensivpflege+GmbH" TargetMode="External" Id="rId42" /><Relationship Type="http://schemas.openxmlformats.org/officeDocument/2006/relationships/hyperlink" Target="https://app.insolvenz-radar.de/company/WRYO312XYo/" TargetMode="External" Id="rId43" /><Relationship Type="http://schemas.openxmlformats.org/officeDocument/2006/relationships/hyperlink" Target="https://www.northdata.de/AGiLA+intensive+care+-+Heimbeatmung+und+Intensivpflege+GmbH" TargetMode="External" Id="rId44" /><Relationship Type="http://schemas.openxmlformats.org/officeDocument/2006/relationships/hyperlink" Target="https://www.pflegemarkt.com/news/insolvenz-intensivpflegedienst-kassel/" TargetMode="External" Id="rId45" /><Relationship Type="http://schemas.openxmlformats.org/officeDocument/2006/relationships/hyperlink" Target="https://www.northdata.de/G&#246;ttlicher+-+Intensivversorgung+GmbH" TargetMode="External" Id="rId46" /><Relationship Type="http://schemas.openxmlformats.org/officeDocument/2006/relationships/hyperlink" Target="https://neu.insolvenzbekanntmachungen.de/ap/" TargetMode="External" Id="rId47" /><Relationship Type="http://schemas.openxmlformats.org/officeDocument/2006/relationships/hyperlink" Target="https://www.northdata.de/Forum+Pflege+Holding+GmbH" TargetMode="External" Id="rId48" /><Relationship Type="http://schemas.openxmlformats.org/officeDocument/2006/relationships/hyperlink" Target="https://www.pflegedienstgemeinsam.com/leistungen" TargetMode="External" Id="rId49" /><Relationship Type="http://schemas.openxmlformats.org/officeDocument/2006/relationships/hyperlink" Target="https://www.northdata.de/Pflegedienst+Gemeinsam+GmbH" TargetMode="External" Id="rId50" /><Relationship Type="http://schemas.openxmlformats.org/officeDocument/2006/relationships/hyperlink" Target="https://app.insolvenz-radar.de/company/30aqyb7gam/" TargetMode="External" Id="rId51" /><Relationship Type="http://schemas.openxmlformats.org/officeDocument/2006/relationships/hyperlink" Target="https://www.northdata.de/Empathy24+GmbH+Ambulanter+und+Intensivpflegedienst" TargetMode="External" Id="rId52" /><Relationship Type="http://schemas.openxmlformats.org/officeDocument/2006/relationships/hyperlink" Target="https://app.insolvenz-radar.de/company/m8YyZK9LEk/" TargetMode="External" Id="rId53" /><Relationship Type="http://schemas.openxmlformats.org/officeDocument/2006/relationships/hyperlink" Target="https://www.northdata.de/IzH+Intensivpflege+zu+Hause+GmbH" TargetMode="External" Id="rId54" /><Relationship Type="http://schemas.openxmlformats.org/officeDocument/2006/relationships/hyperlink" Target="http://insolvenzbekanntmachungen.de/" TargetMode="External" Id="rId55" /><Relationship Type="http://schemas.openxmlformats.org/officeDocument/2006/relationships/hyperlink" Target="https://app.insolvenz-radar.de/company/drY2NxbkYW/" TargetMode="External" Id="rId56" /><Relationship Type="http://schemas.openxmlformats.org/officeDocument/2006/relationships/hyperlink" Target="https://www.northdata.de/Barth+&amp;+Meier+GmbH+Intensiv-+und+Heimbeatmungspflegedienst" TargetMode="External" Id="rId57" /><Relationship Type="http://schemas.openxmlformats.org/officeDocument/2006/relationships/hyperlink" Target="http://insolvenzbekanntmachungen.de/" TargetMode="External" Id="rId58" /><Relationship Type="http://schemas.openxmlformats.org/officeDocument/2006/relationships/hyperlink" Target="https://app.insolvenz-radar.de/company/xGY0ZbV9a8/" TargetMode="External" Id="rId59" /><Relationship Type="http://schemas.openxmlformats.org/officeDocument/2006/relationships/hyperlink" Target="https://www.northdata.de/BIT+-+Beatmungs-+und+Intensiv-Pflegeteam+GmbH" TargetMode="External" Id="rId60" /><Relationship Type="http://schemas.openxmlformats.org/officeDocument/2006/relationships/hyperlink" Target="https://www.insolvenzindex.de/insolvenz/doring-intensiv-und-hauskrankenpflege-gmbh-fulda-hrb-7188" TargetMode="External" Id="rId61" /><Relationship Type="http://schemas.openxmlformats.org/officeDocument/2006/relationships/hyperlink" Target="https://www.northdata.de/D&#214;RING+Intensiv-+und+Hauskrankenpflege+GmbH" TargetMode="External" Id="rId62" /><Relationship Type="http://schemas.openxmlformats.org/officeDocument/2006/relationships/hyperlink" Target="https://www.insolvenzindex.de/insolvenz/sk-intensiv-gmbh-hannover-hrb-213868" TargetMode="External" Id="rId63" /><Relationship Type="http://schemas.openxmlformats.org/officeDocument/2006/relationships/hyperlink" Target="https://www.northdata.de/SK+intensiv+GmbH" TargetMode="External" Id="rId64" /><Relationship Type="http://schemas.openxmlformats.org/officeDocument/2006/relationships/hyperlink" Target="https://verbraucherschutzforum.berlin/2025-09-29/vorlaeufige-insolvenzverwaltung-ueber-die-senmedi-intensivpflege-ug-angeordnet-390384/" TargetMode="External" Id="rId65" /><Relationship Type="http://schemas.openxmlformats.org/officeDocument/2006/relationships/hyperlink" Target="https://www.northdata.de/SenMedi+Intensivpflege+UG+(haftungsbeschr&#228;nkt)" TargetMode="External" Id="rId66" /><Relationship Type="http://schemas.openxmlformats.org/officeDocument/2006/relationships/hyperlink" Target="https://neu.insolvenzbekanntmachungen.de/ap/" TargetMode="External" Id="rId67" /><Relationship Type="http://schemas.openxmlformats.org/officeDocument/2006/relationships/hyperlink" Target="https://www.northdata.de/110Intensivpflege+GmbH" TargetMode="External" Id="rId68" /><Relationship Type="http://schemas.openxmlformats.org/officeDocument/2006/relationships/hyperlink" Target="https://www.unternehmen24.info/Handelsregister/Deutschland/Insolvenzen/2025-03-07" TargetMode="External" Id="rId69" /><Relationship Type="http://schemas.openxmlformats.org/officeDocument/2006/relationships/hyperlink" Target="https://www.northdata.de/ZIS+Zentrum+f&#252;r+Beatmung+und+Intensivpflege+S&#252;dwest+AG" TargetMode="External" Id="rId70" /><Relationship Type="http://schemas.openxmlformats.org/officeDocument/2006/relationships/hyperlink" Target="https://www.diebewertung.de/insolvenzsl-intensive-care-gmbh/" TargetMode="External" Id="rId71" /><Relationship Type="http://schemas.openxmlformats.org/officeDocument/2006/relationships/hyperlink" Target="https://www.northdata.de/SL+Intensive+Care+GmbH" TargetMode="External" Id="rId72" /><Relationship Type="http://schemas.openxmlformats.org/officeDocument/2006/relationships/hyperlink" Target="https://verbraucherschutzforum.berlin/2024-06-28/insolvenzveroeffentlichungen-18-315709/" TargetMode="External" Id="rId73" /><Relationship Type="http://schemas.openxmlformats.org/officeDocument/2006/relationships/hyperlink" Target="https://www.northdata.de/F&#246;rde+Intensiv+Team+UG+(haftungsbesch&#228;nkt)" TargetMode="External" Id="rId74" /><Relationship Type="http://schemas.openxmlformats.org/officeDocument/2006/relationships/hyperlink" Target="https://www.unternehmen24.info/Handelsregister/Deutschland/Insolvenzen/2022-12-09" TargetMode="External" Id="rId75" /><Relationship Type="http://schemas.openxmlformats.org/officeDocument/2006/relationships/hyperlink" Target="https://www.northdata.de/WeCare+Intensiv-+und+Beatmungspflege+UG+(haftungsbeschr&#228;nkt)" TargetMode="External" Id="rId76" /><Relationship Type="http://schemas.openxmlformats.org/officeDocument/2006/relationships/hyperlink" Target="https://www.unternehmen24.info/Handelsregister/Deutschland/Insolvenzen/2023-10-26" TargetMode="External" Id="rId77" /><Relationship Type="http://schemas.openxmlformats.org/officeDocument/2006/relationships/hyperlink" Target="https://www.northdata.de/Simba+H&#228;usliche+Kinderkranken-+und+Intensivpflege+GmbH" TargetMode="External" Id="rId78" /><Relationship Type="http://schemas.openxmlformats.org/officeDocument/2006/relationships/hyperlink" Target="https://www.webvalid.de/company/NILLA%2Bambulante%2BKranken-%2Bund%2BIntensivpflege%2BGmbH%2C%2BVarel/HRB%2B214308" TargetMode="External" Id="rId79" /><Relationship Type="http://schemas.openxmlformats.org/officeDocument/2006/relationships/hyperlink" Target="https://www.northdata.de/Nilla+ambulante+Kranken-+und+Intensivpflege+GmbH" TargetMode="External" Id="rId80" /><Relationship Type="http://schemas.openxmlformats.org/officeDocument/2006/relationships/hyperlink" Target="https://www.webvalid.de/company/ILD%2BIntensivpflege%2BLahn-Dill%2BGmbH%2C%2BWetzlar/HRB%2B7584" TargetMode="External" Id="rId81" /><Relationship Type="http://schemas.openxmlformats.org/officeDocument/2006/relationships/hyperlink" Target="https://www.northdata.de/ILD+Intensivpflege+Lahn-Dill+GmbH" TargetMode="External" Id="rId82" /><Relationship Type="http://schemas.openxmlformats.org/officeDocument/2006/relationships/hyperlink" Target="https://verbraucherschutzforum.berlin/2024-03-05/insolvenzeroeffnungen-37-298324/" TargetMode="External" Id="rId83" /><Relationship Type="http://schemas.openxmlformats.org/officeDocument/2006/relationships/hyperlink" Target="https://www.northdata.de/DaLon+GmbH+Ambulanter+und+Intensiv+Pflegedienst" TargetMode="External" Id="rId84" /><Relationship Type="http://schemas.openxmlformats.org/officeDocument/2006/relationships/hyperlink" Target="https://www.unternehmen24.info/Handelsregister/Deutschland/Insolvenzen/2024-01-05" TargetMode="External" Id="rId85" /><Relationship Type="http://schemas.openxmlformats.org/officeDocument/2006/relationships/hyperlink" Target="https://www.northdata.de/Wohlf&#252;hlintensivpflege+GmbH" TargetMode="External" Id="rId86" /><Relationship Type="http://schemas.openxmlformats.org/officeDocument/2006/relationships/hyperlink" Target="https://www.webvalid.de/company/Auxilio%2BIntensiv%2BCare%2BGmbH%2C%2BJ&#252;lich/HRB%2B8009" TargetMode="External" Id="rId87" /><Relationship Type="http://schemas.openxmlformats.org/officeDocument/2006/relationships/hyperlink" Target="https://www.northdata.de/Auxilio+Intensiv+Care+GmbH" TargetMode="External" Id="rId88" /><Relationship Type="http://schemas.openxmlformats.org/officeDocument/2006/relationships/hyperlink" Target="https://www.companyhouse.de/relinquo-Intensivpflegedienst-GmbH-Werneck" TargetMode="External" Id="rId89" /><Relationship Type="http://schemas.openxmlformats.org/officeDocument/2006/relationships/hyperlink" Target="https://www.northdata.de/relinquo+Intensivpflegedienst+GmbH" TargetMode="External" Id="rId90" /><Relationship Type="http://schemas.openxmlformats.org/officeDocument/2006/relationships/hyperlink" Target="https://insolvenzradar.de/Insolvenzmeldungen/G.html" TargetMode="External" Id="rId91" /><Relationship Type="http://schemas.openxmlformats.org/officeDocument/2006/relationships/hyperlink" Target="https://www.northdata.de/MediAir+GmbH+Intensiv-+und+Beatmungspflege" TargetMode="External" Id="rId92" /><Relationship Type="http://schemas.openxmlformats.org/officeDocument/2006/relationships/hyperlink" Target="https://www.companyhouse.de/Intensiv-Care-Luenen-UG-Luenen" TargetMode="External" Id="rId93" /><Relationship Type="http://schemas.openxmlformats.org/officeDocument/2006/relationships/hyperlink" Target="https://www.northdata.de/Intensiv+Care+L&#252;nen+UG" TargetMode="External" Id="rId94" /><Relationship Type="http://schemas.openxmlformats.org/officeDocument/2006/relationships/hyperlink" Target="https://neu.insolvenzbekanntmachungen.de/ap/" TargetMode="External" Id="rId95" /><Relationship Type="http://schemas.openxmlformats.org/officeDocument/2006/relationships/hyperlink" Target="https://www.northdata.de/SAN+Intensivpflege+GmbH" TargetMode="External" Id="rId96" /><Relationship Type="http://schemas.openxmlformats.org/officeDocument/2006/relationships/hyperlink" Target="https://www.companyhouse.de/CERATONIA-ausserklinische-ambulante-Intensivpflege-GmbH-Hasbergen" TargetMode="External" Id="rId97" /><Relationship Type="http://schemas.openxmlformats.org/officeDocument/2006/relationships/hyperlink" Target="https://www.northdata.de/CERATONIA-au&#223;erklinische+ambulante+Intensivpflege+GmbH" TargetMode="External" Id="rId98" /><Relationship Type="http://schemas.openxmlformats.org/officeDocument/2006/relationships/hyperlink" Target="https://www.companyhouse.de/MVM-Intensiv-und-Heimbeatmungsdienst-GmbH-Fuerth" TargetMode="External" Id="rId99" /><Relationship Type="http://schemas.openxmlformats.org/officeDocument/2006/relationships/hyperlink" Target="https://www.northdata.de/MVM+Intensiv+und+Heimbeatmungsdienst+GmbH" TargetMode="External" Id="rId100" /><Relationship Type="http://schemas.openxmlformats.org/officeDocument/2006/relationships/hyperlink" Target="https://insolvenz-radar.de/firmeninsolvenz/hrb%2B18575/sydower%2Bflie&#223;/g1207/" TargetMode="External" Id="rId101" /><Relationship Type="http://schemas.openxmlformats.org/officeDocument/2006/relationships/hyperlink" Target="https://www.northdata.de/Kn&#246;pfchen+Intensivpflege+GmbH" TargetMode="External" Id="rId102" /><Relationship Type="http://schemas.openxmlformats.org/officeDocument/2006/relationships/hyperlink" Target="https://www.companyhouse.de/flair-GmbH-ambulanter-Beatmungs-und-Intensivpflegedienst-Nettersheim" TargetMode="External" Id="rId103" /><Relationship Type="http://schemas.openxmlformats.org/officeDocument/2006/relationships/hyperlink" Target="https://www.northdata.de/flair+GmbH+ambulanter+Beatmungs-+und+Intensivpflegedienst" TargetMode="External" Id="rId104" /><Relationship Type="http://schemas.openxmlformats.org/officeDocument/2006/relationships/table" Target="/xl/tables/table1.xml" Id="rId10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7"/>
  <sheetViews>
    <sheetView tabSelected="1" zoomScale="66" zoomScaleNormal="66" workbookViewId="0">
      <selection activeCell="A6" sqref="A6"/>
    </sheetView>
  </sheetViews>
  <sheetFormatPr baseColWidth="10" defaultColWidth="12.5703125" defaultRowHeight="15"/>
  <cols>
    <col width="55.42578125" customWidth="1" min="1" max="1"/>
    <col width="48.7109375" customWidth="1" min="2" max="2"/>
    <col width="26.5703125" customWidth="1" min="3" max="3"/>
    <col width="43.7109375" customWidth="1" min="4" max="4"/>
    <col width="26.5703125" customWidth="1" min="5" max="5"/>
    <col width="57.140625" customWidth="1" min="6" max="6"/>
    <col width="35.28515625" customWidth="1" style="13" min="7" max="7"/>
    <col width="29.140625" customWidth="1" min="8" max="8"/>
    <col width="8.85546875" bestFit="1" customWidth="1" min="9" max="9"/>
    <col width="12.28515625" customWidth="1" min="10" max="10"/>
    <col width="11" customWidth="1" min="11" max="26"/>
  </cols>
  <sheetData>
    <row r="1" ht="83.25" customHeight="1">
      <c r="A1" s="1" t="inlineStr">
        <is>
          <t>Firma</t>
        </is>
      </c>
      <c r="B1" s="15" t="inlineStr">
        <is>
          <t>erste Veröffentlichung</t>
        </is>
      </c>
      <c r="C1" s="2" t="inlineStr">
        <is>
          <t>letzte Veröffentlichung</t>
        </is>
      </c>
      <c r="D1" s="15" t="inlineStr">
        <is>
          <t>Inhalt letzte Veröffentlichung</t>
        </is>
      </c>
      <c r="E1" s="1" t="inlineStr">
        <is>
          <t>Sitz</t>
        </is>
      </c>
      <c r="F1" s="1" t="inlineStr">
        <is>
          <t>Bundesland</t>
        </is>
      </c>
      <c r="G1" s="1" t="inlineStr">
        <is>
          <t>GF</t>
        </is>
      </c>
      <c r="H1" s="12" t="inlineStr">
        <is>
          <t>Insolvenzverwalter</t>
        </is>
      </c>
      <c r="I1" s="3" t="inlineStr">
        <is>
          <t>Details</t>
        </is>
      </c>
      <c r="J1" s="4" t="inlineStr">
        <is>
          <t>mehr Details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83.25" customHeight="1">
      <c r="A2" s="1" t="inlineStr">
        <is>
          <t>R &amp; S Intensivpflege und Nachsorge GmbH</t>
        </is>
      </c>
      <c r="B2" s="18" t="n">
        <v>45988</v>
      </c>
      <c r="C2" s="16" t="n">
        <v>46232</v>
      </c>
      <c r="D2" s="19" t="inlineStr">
        <is>
          <t>Eine Gläubigerversammlung soll über den Verkauf des Unternehmens an besonders Interessierte entscheiden.</t>
        </is>
      </c>
      <c r="E2" s="14" t="inlineStr">
        <is>
          <t>Düsseldorf</t>
        </is>
      </c>
      <c r="F2" s="14" t="inlineStr">
        <is>
          <t>Nordrhein-Westfalen</t>
        </is>
      </c>
      <c r="G2" s="14" t="inlineStr">
        <is>
          <t>Rachid Benaissa Sabi</t>
        </is>
      </c>
      <c r="H2" s="19" t="inlineStr">
        <is>
          <t>Rechtsanwalt Martin Lambrecht
Mühlenstraße 36, 40213 Düsseldorf | Tel. 0211 8368051-0</t>
        </is>
      </c>
      <c r="I2" s="19" t="inlineStr">
        <is>
          <t>Details</t>
        </is>
      </c>
      <c r="J2" s="19" t="inlineStr">
        <is>
          <t>Details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83.25" customHeight="1">
      <c r="A3" s="1" t="inlineStr">
        <is>
          <t>Intensiv Leben GmbH</t>
        </is>
      </c>
      <c r="B3" s="18" t="n">
        <v>46113</v>
      </c>
      <c r="C3" s="16" t="n">
        <v>46223</v>
      </c>
      <c r="D3" s="19" t="inlineStr">
        <is>
          <t>Nachträglich angemeldete Forderungen werden schriftlich geprüft; Widersprüche sind bis 24.08.2026 möglich.</t>
        </is>
      </c>
      <c r="E3" s="14" t="inlineStr">
        <is>
          <t>Herbrechtingen</t>
        </is>
      </c>
      <c r="F3" s="14" t="inlineStr">
        <is>
          <t>Baden-Württemberg</t>
        </is>
      </c>
      <c r="G3" s="14" t="inlineStr">
        <is>
          <t>Tanja Tausend</t>
        </is>
      </c>
      <c r="H3" s="19" t="inlineStr">
        <is>
          <t>Rechtsanwalt Dr. jur. Marcus Egner
Moltkestraße 40, 74072 Heilbronn | Tel. 07131 60990 | insolvenz@haus-des-rechts.de</t>
        </is>
      </c>
      <c r="I3" s="19" t="inlineStr">
        <is>
          <t>Details</t>
        </is>
      </c>
      <c r="J3" s="19" t="inlineStr">
        <is>
          <t>Details</t>
        </is>
      </c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83.25" customHeight="1">
      <c r="A4" s="1" t="inlineStr">
        <is>
          <t>NOTI Intensivpflege GmbH</t>
        </is>
      </c>
      <c r="B4" s="18" t="n">
        <v>45729</v>
      </c>
      <c r="C4" s="16" t="n">
        <v>46216</v>
      </c>
      <c r="D4" s="19" t="inlineStr">
        <is>
          <t>Nachträglich angemeldete und geänderte Forderungen werden schriftlich geprüft; Prüfungsstichtag ist der 13.08.2026.</t>
        </is>
      </c>
      <c r="E4" s="14" t="inlineStr">
        <is>
          <t>Remscheid</t>
        </is>
      </c>
      <c r="F4" s="14" t="inlineStr">
        <is>
          <t>Nordrhein-Westfalen</t>
        </is>
      </c>
      <c r="G4" s="14" t="inlineStr">
        <is>
          <t>Daniela Noti</t>
        </is>
      </c>
      <c r="H4" s="19" t="inlineStr">
        <is>
          <t>Rechtsanwalt Sven Bader
Hindenburgstr. 30, 42853 Remscheid | Tel. 02191/421010</t>
        </is>
      </c>
      <c r="I4" s="19" t="inlineStr">
        <is>
          <t>Details</t>
        </is>
      </c>
      <c r="J4" s="19" t="inlineStr">
        <is>
          <t>Details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83.25" customFormat="1" customHeight="1" s="23">
      <c r="A5" s="20" t="inlineStr">
        <is>
          <t>Forum Pflege Mayen-Koblenz GmbH</t>
        </is>
      </c>
      <c r="B5" s="25" t="n">
        <v>46216</v>
      </c>
      <c r="C5" s="21" t="n">
        <v>46216</v>
      </c>
      <c r="D5" s="26" t="inlineStr">
        <is>
          <t>Der Antrag auf Eröffnung des Insolvenzverfahrens wurde mangels Masse abgewiesen.</t>
        </is>
      </c>
      <c r="E5" s="27" t="inlineStr">
        <is>
          <t>Montabaur</t>
        </is>
      </c>
      <c r="F5" s="27" t="inlineStr">
        <is>
          <t>Rheinland-Pfalz</t>
        </is>
      </c>
      <c r="G5" s="27" t="inlineStr">
        <is>
          <t>Tobias Houy</t>
        </is>
      </c>
      <c r="H5" s="22" t="inlineStr">
        <is>
          <t>kein Verwalter bestellt (Antrag am 16.04.2026 mangels Masse abgewiesen)</t>
        </is>
      </c>
      <c r="I5" s="26" t="inlineStr">
        <is>
          <t>Details</t>
        </is>
      </c>
      <c r="J5" s="26" t="inlineStr">
        <is>
          <t>Details</t>
        </is>
      </c>
    </row>
    <row r="6" ht="83.25" customHeight="1">
      <c r="A6" s="1" t="inlineStr">
        <is>
          <t>Luna Ambulanter Intensivpflegedienst MV GmbH</t>
        </is>
      </c>
      <c r="B6" s="18" t="n">
        <v>46203</v>
      </c>
      <c r="C6" s="16" t="n">
        <v>46203</v>
      </c>
      <c r="D6" s="19" t="inlineStr">
        <is>
          <t>Nachträglich angemeldete Forderungen werden schriftlich geprüft; Prüfungsstichtag ist der 24.08.2026.</t>
        </is>
      </c>
      <c r="E6" s="14" t="inlineStr">
        <is>
          <t>Schwerin</t>
        </is>
      </c>
      <c r="F6" s="14" t="inlineStr">
        <is>
          <t>Mecklenburg-Vorpommern</t>
        </is>
      </c>
      <c r="G6" s="14" t="inlineStr">
        <is>
          <t>Doreen Doblies</t>
        </is>
      </c>
      <c r="H6" s="19" t="inlineStr">
        <is>
          <t>Rechtsanwalt Christian Hafften
Alexandrinenstr. 17, 19055 Schwerin | Tel. 0385 572770</t>
        </is>
      </c>
      <c r="I6" s="19" t="inlineStr">
        <is>
          <t>Details</t>
        </is>
      </c>
      <c r="J6" s="19" t="inlineStr">
        <is>
          <t>Details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83.25" customHeight="1">
      <c r="A7" s="1" t="inlineStr">
        <is>
          <t>Konstant AIP Ambulante Intensivpflege GmbH</t>
        </is>
      </c>
      <c r="B7" s="18" t="n">
        <v>45330</v>
      </c>
      <c r="C7" s="16" t="n">
        <v>46199</v>
      </c>
      <c r="D7" s="19" t="inlineStr">
        <is>
          <t>Nachträglich angemeldete Forderungen werden schriftlich geprüft; Widersprüche müssen bis 30.07.2026 eingehen.</t>
        </is>
      </c>
      <c r="E7" s="14" t="inlineStr">
        <is>
          <t>Reiskirchen</t>
        </is>
      </c>
      <c r="F7" s="14" t="inlineStr">
        <is>
          <t>Hessen</t>
        </is>
      </c>
      <c r="G7" s="14" t="inlineStr">
        <is>
          <t>Ludmila Pavlov</t>
        </is>
      </c>
      <c r="H7" s="19" t="inlineStr">
        <is>
          <t>Rechtsanwalt Dr. Hans-Jörg Laudenbach
Lahnstraße 1, 35398 Gießen | Tel. 0641/9829218</t>
        </is>
      </c>
      <c r="I7" s="19" t="inlineStr">
        <is>
          <t>Details</t>
        </is>
      </c>
      <c r="J7" s="19" t="inlineStr">
        <is>
          <t>Details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83.25" customHeight="1">
      <c r="A8" s="1" t="inlineStr">
        <is>
          <t>Intensiv Ambulant Daheim GmbH</t>
        </is>
      </c>
      <c r="B8" s="18" t="n">
        <v>45343</v>
      </c>
      <c r="C8" s="16" t="n">
        <v>46198</v>
      </c>
      <c r="D8" s="19" t="inlineStr">
        <is>
          <t>Die Schlussverteilung wurde genehmigt; auf anerkannte Forderungen soll eine Quote von rund 7,28 % gezahlt werden.</t>
        </is>
      </c>
      <c r="E8" s="14" t="inlineStr">
        <is>
          <t>Paderborn</t>
        </is>
      </c>
      <c r="F8" s="14" t="inlineStr">
        <is>
          <t>Nordrhein-Westfalen</t>
        </is>
      </c>
      <c r="G8" s="14" t="inlineStr">
        <is>
          <t>Uwe Brocksieper (gesetzlicher Vertreter)</t>
        </is>
      </c>
      <c r="H8" s="19" t="inlineStr">
        <is>
          <t>Rechtsanwalt Oliver Ehrhardt
Neuhäuser Str. 113, 33102 Paderborn | Tel. 05251/180660</t>
        </is>
      </c>
      <c r="I8" s="19" t="inlineStr">
        <is>
          <t>Details</t>
        </is>
      </c>
      <c r="J8" s="19" t="inlineStr">
        <is>
          <t>Details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83.25" customFormat="1" customHeight="1" s="23">
      <c r="A9" s="20" t="inlineStr">
        <is>
          <t>Pflegewerk Berlin GmbH</t>
        </is>
      </c>
      <c r="B9" s="25" t="n">
        <v>46029</v>
      </c>
      <c r="C9" s="21" t="n">
        <v>46198</v>
      </c>
      <c r="D9" s="26" t="inlineStr">
        <is>
          <t>Die Vergütungen und Auslagen mehrerer Mitglieder des vorläufigen Gläubigerausschusses wurden festgesetzt.</t>
        </is>
      </c>
      <c r="E9" s="27" t="inlineStr">
        <is>
          <t>Berlin</t>
        </is>
      </c>
      <c r="F9" s="27" t="inlineStr">
        <is>
          <t>Berlin</t>
        </is>
      </c>
      <c r="G9" s="27" t="inlineStr">
        <is>
          <t>Georgios Giannakopoulos, Susanne Giannakopoulos</t>
        </is>
      </c>
      <c r="H9" s="22" t="inlineStr">
        <is>
          <t>Rechtsanwalt Frank Brachwitz (PLUTA)
Karl-Heinrich-Ulrichs-Straße 24, 10785 Berlin</t>
        </is>
      </c>
      <c r="I9" s="26" t="inlineStr">
        <is>
          <t>Details</t>
        </is>
      </c>
      <c r="J9" s="26" t="inlineStr">
        <is>
          <t>mehr Details</t>
        </is>
      </c>
    </row>
    <row r="10" ht="83.25" customHeight="1">
      <c r="A10" s="1" t="inlineStr">
        <is>
          <t>Intensiv Filter Himenviro GmbH</t>
        </is>
      </c>
      <c r="B10" s="18" t="n">
        <v>46196</v>
      </c>
      <c r="C10" s="16" t="n">
        <v>46196</v>
      </c>
      <c r="D10" s="19" t="inlineStr">
        <is>
          <t>Nachträglich angemeldete und geänderte Forderungen werden schriftlich geprüft; Prüfungsstichtag ist der 31.08.2026.</t>
        </is>
      </c>
      <c r="E10" s="14" t="inlineStr">
        <is>
          <t>Velbert</t>
        </is>
      </c>
      <c r="F10" s="14" t="inlineStr">
        <is>
          <t>Nordrhein-Westfalen</t>
        </is>
      </c>
      <c r="G10" s="14" t="inlineStr">
        <is>
          <t>Manoj Garg</t>
        </is>
      </c>
      <c r="H10" s="19" t="inlineStr">
        <is>
          <t>Rechtsanwalt Dr. Jens Schmidt
Friedrich-Ebert-Str. 146, 42117 Wuppertal | Tel. 0202 302070</t>
        </is>
      </c>
      <c r="I10" s="19" t="inlineStr">
        <is>
          <t>Details</t>
        </is>
      </c>
      <c r="J10" s="19" t="inlineStr">
        <is>
          <t>Details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83.25" customHeight="1">
      <c r="A11" s="1" t="inlineStr">
        <is>
          <t>Forum Pflege Intensiv GmbH</t>
        </is>
      </c>
      <c r="B11" s="18" t="n">
        <v>46192</v>
      </c>
      <c r="C11" s="16" t="n">
        <v>46192</v>
      </c>
      <c r="D11" s="19" t="inlineStr">
        <is>
          <t>Der Antrag auf Eröffnung des Insolvenzverfahrens wurde mangels Masse abgewiesen.</t>
        </is>
      </c>
      <c r="E11" s="14" t="inlineStr">
        <is>
          <t>Montabaur</t>
        </is>
      </c>
      <c r="F11" s="14" t="inlineStr">
        <is>
          <t>Rheinland-Pfalz</t>
        </is>
      </c>
      <c r="G11" s="14" t="inlineStr">
        <is>
          <t>Tobias Houy</t>
        </is>
      </c>
      <c r="H11" s="19" t="inlineStr">
        <is>
          <t>kein Verwalter bestellt</t>
        </is>
      </c>
      <c r="I11" s="19" t="inlineStr">
        <is>
          <t>Details</t>
        </is>
      </c>
      <c r="J11" s="19" t="inlineStr">
        <is>
          <t>Details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83.25" customHeight="1">
      <c r="A12" s="1" t="inlineStr">
        <is>
          <t>Home Care Intensivpflege GmbH &amp; Co. KG</t>
        </is>
      </c>
      <c r="B12" s="18" t="n">
        <v>45713</v>
      </c>
      <c r="C12" s="16" t="n">
        <v>46189</v>
      </c>
      <c r="D12" s="19" t="inlineStr">
        <is>
          <t>Das Verfahren soll mangels kostendeckender Masse eingestellt werden; für die Schlussverteilung steht kein Massebestand zur Verfügung.</t>
        </is>
      </c>
      <c r="E12" s="14" t="inlineStr">
        <is>
          <t>Winsen (Aller)</t>
        </is>
      </c>
      <c r="F12" s="14" t="inlineStr">
        <is>
          <t>Niedersachsen</t>
        </is>
      </c>
      <c r="G12" s="14" t="inlineStr">
        <is>
          <t>Martin Leier (GF der Home Care Verwaltungs GmbH)</t>
        </is>
      </c>
      <c r="H12" s="19" t="inlineStr">
        <is>
          <t>Rechtsanwalt Tim F. Gätcke
Vogelberg 38, 29227 Celle | Tel. 05141 30284-52</t>
        </is>
      </c>
      <c r="I12" s="19" t="inlineStr">
        <is>
          <t>Details</t>
        </is>
      </c>
      <c r="J12" s="19" t="inlineStr">
        <is>
          <t>Details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83.25" customFormat="1" customHeight="1" s="49">
      <c r="A13" s="44" t="inlineStr">
        <is>
          <t>SRP intensiv-Transport GmbH &amp; Co KG</t>
        </is>
      </c>
      <c r="B13" s="45" t="n">
        <v>46107</v>
      </c>
      <c r="C13" s="46" t="n">
        <v>46184</v>
      </c>
      <c r="D13" s="47" t="inlineStr">
        <is>
          <t>Der Insolvenzverwalter hat die Festsetzung seiner Vergütung und Auslagen beantragt; Stellungnahmen waren bis 25.06.2026 möglich.</t>
        </is>
      </c>
      <c r="E13" s="48" t="inlineStr">
        <is>
          <t>Mannheim</t>
        </is>
      </c>
      <c r="F13" s="48" t="inlineStr">
        <is>
          <t>Baden-Württemberg</t>
        </is>
      </c>
      <c r="G13" s="48" t="inlineStr">
        <is>
          <t>Sven Schäfer (GF der SRP Verwaltungs GmbH)</t>
        </is>
      </c>
      <c r="H13" s="47" t="inlineStr">
        <is>
          <t>Rechtsanwalt Mirko Lehnert
Kasinostraße 9, 64293 Darmstadt | Tel. 06151-3968211</t>
        </is>
      </c>
      <c r="I13" s="47" t="inlineStr">
        <is>
          <t>Details</t>
        </is>
      </c>
      <c r="J13" s="47" t="inlineStr">
        <is>
          <t>Details</t>
        </is>
      </c>
    </row>
    <row r="14" ht="83.25" customHeight="1">
      <c r="A14" s="1" t="inlineStr">
        <is>
          <t>AirHome Intensivpflege GmbH</t>
        </is>
      </c>
      <c r="B14" s="18" t="n">
        <v>46182</v>
      </c>
      <c r="C14" s="16" t="n">
        <v>46182</v>
      </c>
      <c r="D14" s="19" t="inlineStr">
        <is>
          <t>Ein vorläufiger Insolvenzverwalter wurde bestellt; Verfügungen sind nur noch mit seiner Zustimmung wirksam.</t>
        </is>
      </c>
      <c r="E14" s="14" t="inlineStr">
        <is>
          <t>Eschweiler</t>
        </is>
      </c>
      <c r="F14" s="14" t="inlineStr">
        <is>
          <t>Nordrhein-Westfalen</t>
        </is>
      </c>
      <c r="G14" s="14" t="inlineStr">
        <is>
          <t>Alice Laufs</t>
        </is>
      </c>
      <c r="H14" s="19" t="inlineStr">
        <is>
          <t>Rechtsanwalt Andreas Schmitz (vorläufiger Insolvenzverwalter)
Krefelder Straße 153, 52070 Aachen | Tel. 0241 18296826</t>
        </is>
      </c>
      <c r="I14" s="19" t="inlineStr">
        <is>
          <t>Details</t>
        </is>
      </c>
      <c r="J14" s="19" t="inlineStr">
        <is>
          <t>Details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83.25" customHeight="1">
      <c r="A15" s="1" t="inlineStr">
        <is>
          <t>KIPFL - KinderIntensivPflegedienst GmbH</t>
        </is>
      </c>
      <c r="B15" s="18" t="n">
        <v>46084</v>
      </c>
      <c r="C15" s="16" t="n">
        <v>46176</v>
      </c>
      <c r="D15" s="19" t="inlineStr">
        <is>
          <t>Die Gläubigerversammlung sollte über eine Investorenvereinbarung, ein Massedarlehen und die Sanierung per Insolvenzplan entscheiden.</t>
        </is>
      </c>
      <c r="E15" s="14" t="inlineStr">
        <is>
          <t>Potsdam</t>
        </is>
      </c>
      <c r="F15" s="14" t="inlineStr">
        <is>
          <t>Brandenburg</t>
        </is>
      </c>
      <c r="G15" s="14" t="inlineStr">
        <is>
          <t>Andreas Patz</t>
        </is>
      </c>
      <c r="H15" s="19" t="inlineStr">
        <is>
          <t>Eigenverwaltung
Sachverwalter: Rechtsanwalt Dr. Florian Linkert 
Berliner Freiheit 2, 10785 Berlin 
Tel. 030 200033400</t>
        </is>
      </c>
      <c r="I15" s="19" t="inlineStr">
        <is>
          <t>Details</t>
        </is>
      </c>
      <c r="J15" s="19" t="inlineStr">
        <is>
          <t>Details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83.25" customHeight="1">
      <c r="A16" s="1" t="inlineStr">
        <is>
          <t>SaiKo Intensivpflege GmbH</t>
        </is>
      </c>
      <c r="B16" s="18" t="n">
        <v>46174</v>
      </c>
      <c r="C16" s="16" t="n">
        <v>46174</v>
      </c>
      <c r="D16" s="19" t="inlineStr">
        <is>
          <t>Das Insolvenzverfahren wurde wegen Zahlungsunfähigkeit eröffnet; die Eigenverwaltung wurde abgelehnt, Dr. Christoph Morgen zum Insolvenzverwalter bestellt und Forderungen sind bis 10.07.2026 anzumelden.</t>
        </is>
      </c>
      <c r="E16" s="14" t="inlineStr">
        <is>
          <t>Glinde</t>
        </is>
      </c>
      <c r="F16" s="14" t="inlineStr">
        <is>
          <t>Schleswig-Holstein</t>
        </is>
      </c>
      <c r="G16" s="14" t="inlineStr">
        <is>
          <t>Anisa Fazli</t>
        </is>
      </c>
      <c r="H16" s="19" t="inlineStr">
        <is>
          <t>Rechtsanwalt Dr. Christoph Morgen
Sechslingspforte 2, 22087 Hamburg
Telefon: 040 22667-7</t>
        </is>
      </c>
      <c r="I16" s="19" t="inlineStr">
        <is>
          <t>Details</t>
        </is>
      </c>
      <c r="J16" s="19" t="inlineStr">
        <is>
          <t>Details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83.25" customHeight="1">
      <c r="A17" s="1" t="inlineStr">
        <is>
          <t>Intensivpflegeteam Pfaffenwinkel GmbH</t>
        </is>
      </c>
      <c r="B17" s="18" t="n">
        <v>46169</v>
      </c>
      <c r="C17" s="16" t="n">
        <v>46169</v>
      </c>
      <c r="D17" s="19" t="inlineStr">
        <is>
          <t>Das Insolvenzverfahren wurde wegen Zahlungsunfähigkeit und Überschuldung eröffnet; Forderungen waren bis 10.07.2026 anzumelden.</t>
        </is>
      </c>
      <c r="E17" s="14" t="inlineStr">
        <is>
          <t>Schongau</t>
        </is>
      </c>
      <c r="F17" s="14" t="inlineStr">
        <is>
          <t>Bayern</t>
        </is>
      </c>
      <c r="G17" s="14" t="inlineStr">
        <is>
          <t>Rick Breunig</t>
        </is>
      </c>
      <c r="H17" s="19" t="inlineStr">
        <is>
          <t>Rechtsanwalt Dr. Robert Hänel
Kirchplatz 9, 82362 Weilheim | Tel. 0881 9010900</t>
        </is>
      </c>
      <c r="I17" s="19" t="inlineStr">
        <is>
          <t>Details</t>
        </is>
      </c>
      <c r="J17" s="19" t="inlineStr">
        <is>
          <t>Details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83.25" customHeight="1">
      <c r="A18" s="1" t="inlineStr">
        <is>
          <t>Care Intensiv 24 GmbH</t>
        </is>
      </c>
      <c r="B18" s="18" t="n">
        <v>45922</v>
      </c>
      <c r="C18" s="16" t="n">
        <v>46169</v>
      </c>
      <c r="D18" s="19" t="inlineStr">
        <is>
          <t>Die Schlussverteilung wurde genehmigt; Einwendungen gegen Schlussrechnung und Schlussverzeichnis waren bis 20.07.2026 möglich.</t>
        </is>
      </c>
      <c r="E18" s="14" t="inlineStr">
        <is>
          <t>Rinteln</t>
        </is>
      </c>
      <c r="F18" s="14" t="inlineStr">
        <is>
          <t>Niedersachsen</t>
        </is>
      </c>
      <c r="G18" s="14" t="inlineStr">
        <is>
          <t>Dr. Olaf Vollkopf</t>
        </is>
      </c>
      <c r="H18" s="19" t="inlineStr">
        <is>
          <t>Dipl.-Kfm. StB Jens Rüdiger
Sutelstraße 7a, 30659 Hannover | Tel. 0511/35399160</t>
        </is>
      </c>
      <c r="I18" s="19" t="inlineStr">
        <is>
          <t>Details</t>
        </is>
      </c>
      <c r="J18" s="19" t="inlineStr">
        <is>
          <t>Details</t>
        </is>
      </c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83.25" customHeight="1">
      <c r="A19" s="14" t="inlineStr">
        <is>
          <t>Medi Plus UG (haftungsbeschränkt) Intensivpflegedienst</t>
        </is>
      </c>
      <c r="B19" s="18" t="n">
        <v>45596</v>
      </c>
      <c r="C19" s="16" t="n">
        <v>46163</v>
      </c>
      <c r="D19" s="19" t="inlineStr">
        <is>
          <t>Die Vergütung und Auslagen der vorläufigen Insolvenzverwalterin wurden gerichtlich festgesetzt.</t>
        </is>
      </c>
      <c r="E19" s="14" t="inlineStr">
        <is>
          <t>Wiesbaden</t>
        </is>
      </c>
      <c r="F19" s="14" t="inlineStr">
        <is>
          <t>Hessen</t>
        </is>
      </c>
      <c r="G19" s="14" t="inlineStr">
        <is>
          <t>Anna Massey</t>
        </is>
      </c>
      <c r="H19" s="19" t="inlineStr">
        <is>
          <t>Rechtsanwältin Stefanie Barth (HGW Rechtsanwälte)
Tannenstr. 8, 65187 Wiesbaden | Tel. 0611 5325458-0</t>
        </is>
      </c>
      <c r="I19" s="19" t="inlineStr">
        <is>
          <t>Details</t>
        </is>
      </c>
      <c r="J19" s="19" t="inlineStr">
        <is>
          <t>Details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83.25" customHeight="1">
      <c r="A20" s="1" t="inlineStr">
        <is>
          <t>CareWell Intensivpflege GmbH</t>
        </is>
      </c>
      <c r="B20" s="18" t="n">
        <v>46141</v>
      </c>
      <c r="C20" s="16" t="n">
        <v>46162</v>
      </c>
      <c r="D20" s="19" t="inlineStr">
        <is>
          <t>Der von einer Gläubigerin gestellte Insolvenzantrag wurde mangels Masse abgewiesen.</t>
        </is>
      </c>
      <c r="E20" s="14" t="inlineStr">
        <is>
          <t>Lohmar</t>
        </is>
      </c>
      <c r="F20" s="14" t="inlineStr">
        <is>
          <t>Nordrhein-Westfalen</t>
        </is>
      </c>
      <c r="G20" s="14" t="inlineStr">
        <is>
          <t>Hans Jürgen Heinrich Zanders</t>
        </is>
      </c>
      <c r="H20" s="19" t="inlineStr">
        <is>
          <t>kein Verwalter bestellt (Antrag am 20.05.2026 mangels Masse abgewiesen)</t>
        </is>
      </c>
      <c r="I20" s="19" t="inlineStr">
        <is>
          <t>Details</t>
        </is>
      </c>
      <c r="J20" s="19" t="inlineStr">
        <is>
          <t>Details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83.25" customFormat="1" customHeight="1" s="23">
      <c r="A21" s="20" t="inlineStr">
        <is>
          <t>Forum Pflege Westerwald GmbH</t>
        </is>
      </c>
      <c r="B21" s="25" t="n">
        <v>46150</v>
      </c>
      <c r="C21" s="21" t="n">
        <v>46150</v>
      </c>
      <c r="D21" s="26" t="inlineStr">
        <is>
          <t>Der Insolvenzantrag wurde mangels Masse abgewiesen; der Beschluss ist rechtskräftig.</t>
        </is>
      </c>
      <c r="E21" s="27" t="inlineStr">
        <is>
          <t>Montabaur</t>
        </is>
      </c>
      <c r="F21" s="27" t="inlineStr">
        <is>
          <t>Rheinland-Pfalz</t>
        </is>
      </c>
      <c r="G21" s="27" t="inlineStr">
        <is>
          <t>Tobias Houy</t>
        </is>
      </c>
      <c r="H21" s="22" t="inlineStr">
        <is>
          <t>kein Verwalter bestellt (Antrag am 30.03.2026 mangels Masse abgewiesen)</t>
        </is>
      </c>
      <c r="I21" s="26" t="inlineStr">
        <is>
          <t>Details</t>
        </is>
      </c>
      <c r="J21" s="26" t="inlineStr">
        <is>
          <t>Details</t>
        </is>
      </c>
    </row>
    <row r="22" ht="83.25" customHeight="1">
      <c r="A22" s="1" t="inlineStr">
        <is>
          <t>Bergische Intensivpflege GmbH</t>
        </is>
      </c>
      <c r="B22" s="18" t="n">
        <v>46146</v>
      </c>
      <c r="C22" s="16" t="n">
        <v>46146</v>
      </c>
      <c r="D22" s="19" t="inlineStr">
        <is>
          <t>Ein vorläufiger Insolvenzverwalter wurde bestellt; Verfügungen sind nur noch mit seiner Zustimmung wirksam.</t>
        </is>
      </c>
      <c r="E22" s="14" t="inlineStr">
        <is>
          <t>Solingen?</t>
        </is>
      </c>
      <c r="F22" s="14" t="inlineStr">
        <is>
          <t>Nordrhein-Westfalen</t>
        </is>
      </c>
      <c r="G22" s="14" t="inlineStr">
        <is>
          <t>Sven Joosten</t>
        </is>
      </c>
      <c r="H22" s="19" t="inlineStr">
        <is>
          <t>Rechtsanwalt Robert Fliegner (vorläufiger Insolvenzverwalter)
Grünewalder Str. 29-31, 42657 Solingen | Tel. 0212/2494200</t>
        </is>
      </c>
      <c r="I22" s="19" t="inlineStr">
        <is>
          <t>Details</t>
        </is>
      </c>
      <c r="J22" s="19" t="inlineStr">
        <is>
          <t>Details</t>
        </is>
      </c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83.25" customHeight="1">
      <c r="A23" s="14" t="inlineStr">
        <is>
          <t>AGiLA intensive care - Heimbeatmung und Intensivpflege GmbH</t>
        </is>
      </c>
      <c r="B23" s="18" t="n">
        <v>46139</v>
      </c>
      <c r="C23" s="16" t="n">
        <v>46139</v>
      </c>
      <c r="D23" s="19" t="inlineStr">
        <is>
          <t>Nachträglich angemeldete Forderungen werden schriftlich geprüft; Widersprüche waren bis 08.06.2026 möglich.</t>
        </is>
      </c>
      <c r="E23" s="14" t="inlineStr">
        <is>
          <t>Karlsruhe</t>
        </is>
      </c>
      <c r="F23" s="14" t="inlineStr">
        <is>
          <t>Baden-Württemberg</t>
        </is>
      </c>
      <c r="G23" s="14" t="inlineStr">
        <is>
          <t>Mario Müller, Mehmet Tunc Yörükoglu</t>
        </is>
      </c>
      <c r="H23" s="19" t="inlineStr">
        <is>
          <t>Rechtsanwalt Steffen Rauschenbusch
O 3, 11+12, 68161 Mannheim | Tel. 0621 5339220</t>
        </is>
      </c>
      <c r="I23" s="19" t="inlineStr">
        <is>
          <t>Details</t>
        </is>
      </c>
      <c r="J23" s="19" t="inlineStr">
        <is>
          <t>Details</t>
        </is>
      </c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83.25" customHeight="1">
      <c r="A24" s="7" t="inlineStr">
        <is>
          <t>Göttlicher - Intensivversorgung GmbH</t>
        </is>
      </c>
      <c r="B24" s="18" t="n">
        <v>45467</v>
      </c>
      <c r="C24" s="17" t="n">
        <v>46100</v>
      </c>
      <c r="D24" s="19" t="inlineStr">
        <is>
          <t>Die Schlussverteilung wurde genehmigt; rund 370.874 € Masse stehen Forderungen von rund 550.950 € gegenüber.</t>
        </is>
      </c>
      <c r="E24" s="28" t="inlineStr">
        <is>
          <t>Kassel</t>
        </is>
      </c>
      <c r="F24" s="28" t="inlineStr">
        <is>
          <t>Hessen</t>
        </is>
      </c>
      <c r="G24" s="28" t="inlineStr">
        <is>
          <t>Nadja Göttlicher</t>
        </is>
      </c>
      <c r="H24" s="24" t="inlineStr">
        <is>
          <t>Rechtsanwalt Henning Jung
Wilhelmshöher Allee 270, 34131 Kassel | Tel. 0561/3166311</t>
        </is>
      </c>
      <c r="I24" s="19" t="inlineStr">
        <is>
          <t>Details</t>
        </is>
      </c>
      <c r="J24" s="19" t="inlineStr">
        <is>
          <t>Details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83.25" customFormat="1" customHeight="1" s="23">
      <c r="A25" s="20" t="inlineStr">
        <is>
          <t>Forum Pflege Holding GmbH</t>
        </is>
      </c>
      <c r="B25" s="25" t="n">
        <v>46038</v>
      </c>
      <c r="C25" s="21" t="n">
        <v>46084</v>
      </c>
      <c r="D25" s="26" t="inlineStr">
        <is>
          <t>Das Insolvenzverfahren wurde eröffnet; Forderungen waren bis 08.05.2026 beim Insolvenzverwalter anzumelden.</t>
        </is>
      </c>
      <c r="E25" s="27" t="inlineStr">
        <is>
          <t>Montabaur</t>
        </is>
      </c>
      <c r="F25" s="27" t="inlineStr">
        <is>
          <t>Rheinland-Pfalz</t>
        </is>
      </c>
      <c r="G25" s="27" t="inlineStr">
        <is>
          <t>Tobias Houy</t>
        </is>
      </c>
      <c r="H25" s="22" t="inlineStr">
        <is>
          <t>Rechtsanwalt Jens Lieser
Josef-Görres-Platz 5, 56068 Koblenz | Tel. 0261 30479-0</t>
        </is>
      </c>
      <c r="I25" s="26" t="inlineStr">
        <is>
          <t>Details</t>
        </is>
      </c>
      <c r="J25" s="26" t="inlineStr">
        <is>
          <t>Details</t>
        </is>
      </c>
    </row>
    <row r="26" ht="83.25" customFormat="1" customHeight="1" s="6">
      <c r="A26" s="7" t="inlineStr">
        <is>
          <t>Pflegedienst Gemeinsam GmbH</t>
        </is>
      </c>
      <c r="B26" s="18" t="n">
        <v>45727</v>
      </c>
      <c r="C26" s="17" t="n">
        <v>46083</v>
      </c>
      <c r="D26" s="19" t="inlineStr">
        <is>
          <t>Vergütung und Auslagen des vorläufigen Insolvenzverwalters wurden gerichtlich festgesetzt.</t>
        </is>
      </c>
      <c r="E26" s="28" t="inlineStr">
        <is>
          <t>Mainz</t>
        </is>
      </c>
      <c r="F26" s="28" t="inlineStr">
        <is>
          <t>Rheinland-Pfalz</t>
        </is>
      </c>
      <c r="G26" s="28" t="inlineStr">
        <is>
          <t>Alojz Purgaj</t>
        </is>
      </c>
      <c r="H26" s="24" t="inlineStr">
        <is>
          <t>Rechtsanwalt Hans-W. Goetsch (BGP)
Kaiserstraße 39, 55116 Mainz | Tel. 06131/3337960</t>
        </is>
      </c>
      <c r="I26" s="19" t="inlineStr">
        <is>
          <t>Details</t>
        </is>
      </c>
      <c r="J26" s="19" t="inlineStr">
        <is>
          <t>mehr Details</t>
        </is>
      </c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83.25" customFormat="1" customHeight="1" s="6">
      <c r="A27" s="1" t="inlineStr">
        <is>
          <t>Empathy24 GmbH Ambulanter und Intensivpflegedienst</t>
        </is>
      </c>
      <c r="B27" s="18" t="n">
        <v>45943</v>
      </c>
      <c r="C27" s="16" t="n">
        <v>46070</v>
      </c>
      <c r="D27" s="19" t="inlineStr">
        <is>
          <t>Der Insolvenzverwalter hat Masseunzulänglichkeit angezeigt.</t>
        </is>
      </c>
      <c r="E27" s="14" t="inlineStr">
        <is>
          <t>München</t>
        </is>
      </c>
      <c r="F27" s="14" t="inlineStr">
        <is>
          <t>Bayern</t>
        </is>
      </c>
      <c r="G27" s="14" t="inlineStr">
        <is>
          <t>Aldijana Bajramovic (geb. Fetic)</t>
        </is>
      </c>
      <c r="H27" s="19" t="inlineStr">
        <is>
          <t>Rechtsanwalt Claus-Peter Langer
Heinrich-Heine-Straße 1, 80686 München | Tel. 089 2368580</t>
        </is>
      </c>
      <c r="I27" s="19" t="inlineStr">
        <is>
          <t>Details</t>
        </is>
      </c>
      <c r="J27" s="19" t="inlineStr">
        <is>
          <t>Details</t>
        </is>
      </c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83.25" customHeight="1">
      <c r="A28" s="1" t="inlineStr">
        <is>
          <t>IzH Intensivpflege zu Hause GmbH</t>
        </is>
      </c>
      <c r="B28" s="18" t="n">
        <v>45357</v>
      </c>
      <c r="C28" s="16" t="n">
        <v>46070</v>
      </c>
      <c r="D28" s="19" t="inlineStr">
        <is>
          <t>Nachträglich angemeldete Forderungen werden schriftlich geprüft; Widersprüche waren bis 13.03.2026 möglich.</t>
        </is>
      </c>
      <c r="E28" s="14" t="inlineStr">
        <is>
          <t>Kirn</t>
        </is>
      </c>
      <c r="F28" s="14" t="inlineStr">
        <is>
          <t>Rheinland-Pfalz</t>
        </is>
      </c>
      <c r="G28" s="14" t="inlineStr">
        <is>
          <t>Vasile-Georghe Tamas, Robert Aloys Katte</t>
        </is>
      </c>
      <c r="H28" s="19" t="inlineStr">
        <is>
          <t>Rechtsanwältin Annemarie Dhonau (Dr. Schiebe u. Coll.)
Dr. Karl-Aschoff-Str. 14, 55543 Bad Kreuznach | Tel. 0671/20278902-0</t>
        </is>
      </c>
      <c r="I28" s="19" t="inlineStr">
        <is>
          <t>Details</t>
        </is>
      </c>
      <c r="J28" s="19" t="inlineStr">
        <is>
          <t>Details</t>
        </is>
      </c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83.25" customFormat="1" customHeight="1" s="9">
      <c r="A29" s="14" t="inlineStr">
        <is>
          <t>Barth &amp; Meier GmbH Intensiv- und Heimbeatmungspflegedienst</t>
        </is>
      </c>
      <c r="B29" s="18" t="n">
        <v>43187</v>
      </c>
      <c r="C29" s="16" t="n">
        <v>46057</v>
      </c>
      <c r="D29" s="19" t="inlineStr">
        <is>
          <t>Nachträglich angemeldete gewöhnliche Insolvenzforderungen werden schriftlich geprüft; Widersprüche sind bis 18.03.2026 möglich.</t>
        </is>
      </c>
      <c r="E29" s="14" t="inlineStr">
        <is>
          <t>Buchen</t>
        </is>
      </c>
      <c r="F29" s="14" t="inlineStr">
        <is>
          <t>Baden-Württemberg</t>
        </is>
      </c>
      <c r="G29" s="14" t="inlineStr">
        <is>
          <t>Holger Barth und Christian Meier</t>
        </is>
      </c>
      <c r="H29" s="19" t="inlineStr">
        <is>
          <t>Rechtsanwalt Marcus Winkler
WINKLER &amp; PARTNER, Kettelerstraße 5, 64720 Michelstadt | Tel. 06066 969998-0 | info@wipa-recht.de</t>
        </is>
      </c>
      <c r="I29" s="19" t="inlineStr">
        <is>
          <t>Details</t>
        </is>
      </c>
      <c r="J29" s="19" t="inlineStr">
        <is>
          <t>Details</t>
        </is>
      </c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83.25" customFormat="1" customHeight="1" s="11">
      <c r="A30" s="1" t="inlineStr">
        <is>
          <t>BIT - Beatmungs- und Intensiv-Pflegeteam GmbH</t>
        </is>
      </c>
      <c r="B30" s="18" t="n">
        <v>42734</v>
      </c>
      <c r="C30" s="16" t="n">
        <v>46029</v>
      </c>
      <c r="D30" s="19" t="inlineStr">
        <is>
          <t>Beschluss vom 01.12.2025, veröffentlicht am 07.01.2026: Nachträglich angemeldete und noch nicht geprüfte Forderungen werden schriftlich geprüft; Widersprüche sind bis 07.02.2026 möglich.</t>
        </is>
      </c>
      <c r="E30" s="14" t="inlineStr">
        <is>
          <t>Hamburg</t>
        </is>
      </c>
      <c r="F30" s="14" t="inlineStr">
        <is>
          <t>Hamburg</t>
        </is>
      </c>
      <c r="G30" s="14" t="inlineStr">
        <is>
          <t>Gudrun Jalaß</t>
        </is>
      </c>
      <c r="H30" s="19" t="inlineStr">
        <is>
          <t>Rechtsanwalt Jörn Weitzmann
Kilger &amp; Fülleborn, Ferdinandstraße 29-33, 20095 Hamburg | Tel. 040 4607970 | j.weitzmann@kilger-law.de</t>
        </is>
      </c>
      <c r="I30" s="19" t="inlineStr">
        <is>
          <t>Details</t>
        </is>
      </c>
      <c r="J30" s="19" t="inlineStr">
        <is>
          <t>Details</t>
        </is>
      </c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83.25" customHeight="1">
      <c r="A31" s="14" t="inlineStr">
        <is>
          <t>DÖRING Intensiv- und Hauskrankenpflege GmbH</t>
        </is>
      </c>
      <c r="B31" s="18" t="n">
        <v>45854</v>
      </c>
      <c r="C31" s="16" t="n">
        <v>45995</v>
      </c>
      <c r="D31" s="19" t="inlineStr">
        <is>
          <t>Das Gericht veröffentlichte eine sonstige Mitteilung im laufenden Verfahren; der konkrete Alttext ist im amtlichen Portal nicht mehr abrufbar.</t>
        </is>
      </c>
      <c r="E31" s="14" t="inlineStr">
        <is>
          <t>Petersberg</t>
        </is>
      </c>
      <c r="F31" s="14" t="inlineStr">
        <is>
          <t>Hessen</t>
        </is>
      </c>
      <c r="G31" s="14" t="inlineStr">
        <is>
          <t>Gisela Holzwarth und Dina Denk</t>
        </is>
      </c>
      <c r="H31" s="19" t="inlineStr">
        <is>
          <t>Rechtsanwalt Torsten Nagel
Scheurmann · Schraad &amp; Partner, Dudenstraße 14, 36251 Bad Hersfeld | Tel. 06621 5078-0 | kanzlei@scheurmann-schraad.de</t>
        </is>
      </c>
      <c r="I31" s="19" t="inlineStr">
        <is>
          <t>Details</t>
        </is>
      </c>
      <c r="J31" s="19" t="inlineStr">
        <is>
          <t>Details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83.25" customHeight="1">
      <c r="A32" s="14" t="inlineStr">
        <is>
          <t>SK intensiv GmbH</t>
        </is>
      </c>
      <c r="B32" s="18" t="n">
        <v>45993</v>
      </c>
      <c r="C32" s="16" t="n">
        <v>45993</v>
      </c>
      <c r="D32" s="19" t="inlineStr">
        <is>
          <t>Die letzte Veröffentlichung betrifft eine gerichtliche Entscheidung im Verfahren; der konkrete Alttext ist nicht mehr öffentlich abrufbar.</t>
        </is>
      </c>
      <c r="E32" s="14" t="inlineStr">
        <is>
          <t>Isernhagen</t>
        </is>
      </c>
      <c r="F32" s="14" t="inlineStr">
        <is>
          <t>Niedersachsen</t>
        </is>
      </c>
      <c r="G32" s="14" t="inlineStr">
        <is>
          <t>Daniela Kahle</t>
        </is>
      </c>
      <c r="H32" s="19" t="inlineStr">
        <is>
          <t>Nicht öffentlich verifizierbar; die amtliche Altveröffentlichung ist nicht mehr abrufbar.</t>
        </is>
      </c>
      <c r="I32" s="19" t="inlineStr">
        <is>
          <t>Details</t>
        </is>
      </c>
      <c r="J32" s="19" t="inlineStr">
        <is>
          <t>Details</t>
        </is>
      </c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83.25" customHeight="1">
      <c r="A33" s="14" t="inlineStr">
        <is>
          <t>SenMedi Intensivpflege UG (haftungsbeschränkt)</t>
        </is>
      </c>
      <c r="B33" s="18" t="n">
        <v>45929</v>
      </c>
      <c r="C33" s="16" t="n">
        <v>45992</v>
      </c>
      <c r="D33" s="19" t="inlineStr">
        <is>
          <t>Das Insolvenzverfahren wurde eröffnet; die Einzelheiten der letzten Bekanntmachung sind im amtlichen Portal nicht mehr abrufbar.</t>
        </is>
      </c>
      <c r="E33" s="14" t="inlineStr">
        <is>
          <t>Heidelberg</t>
        </is>
      </c>
      <c r="F33" s="14" t="inlineStr">
        <is>
          <t>Baden-Württemberg</t>
        </is>
      </c>
      <c r="G33" s="14" t="inlineStr">
        <is>
          <t>Cagla Muja, geb. Demir</t>
        </is>
      </c>
      <c r="H33" s="19" t="inlineStr">
        <is>
          <t>Nicht öffentlich verifizierbar; die amtliche Altveröffentlichung ist nicht mehr abrufbar.</t>
        </is>
      </c>
      <c r="I33" s="19" t="inlineStr">
        <is>
          <t>Details</t>
        </is>
      </c>
      <c r="J33" s="19" t="inlineStr">
        <is>
          <t>Details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83.25" customHeight="1">
      <c r="A34" s="14" t="inlineStr">
        <is>
          <t>110Intensivpflege GmbH</t>
        </is>
      </c>
      <c r="B34" s="18" t="n">
        <v>45953</v>
      </c>
      <c r="C34" s="16" t="n">
        <v>45982</v>
      </c>
      <c r="D34" s="19" t="inlineStr">
        <is>
          <t>Das Gericht hob die im Insolvenzeröffnungsverfahren angeordneten Sicherungsmaßnahmen wieder auf.</t>
        </is>
      </c>
      <c r="E34" s="14" t="inlineStr">
        <is>
          <t>Köln</t>
        </is>
      </c>
      <c r="F34" s="14" t="inlineStr">
        <is>
          <t>Nordrhein-Westfalen</t>
        </is>
      </c>
      <c r="G34" s="14" t="inlineStr">
        <is>
          <t>Zahra Jung</t>
        </is>
      </c>
      <c r="H34" s="19" t="inlineStr">
        <is>
          <t>Kein Insolvenzverwalter bestellt; die vorläufigen Sicherungsmaßnahmen wurden aufgehoben.</t>
        </is>
      </c>
      <c r="I34" s="19" t="inlineStr">
        <is>
          <t>Details</t>
        </is>
      </c>
      <c r="J34" s="19" t="inlineStr">
        <is>
          <t>Details</t>
        </is>
      </c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83.25" customHeight="1">
      <c r="A35" s="14" t="inlineStr">
        <is>
          <t>ZIS Zentrum für Beatmung und Intensivpflege Südwest AG</t>
        </is>
      </c>
      <c r="B35" s="18" t="n">
        <v>45723</v>
      </c>
      <c r="C35" s="16" t="n">
        <v>45975</v>
      </c>
      <c r="D35" s="19" t="inlineStr">
        <is>
          <t>Das Gericht veröffentlichte eine weitere Entscheidung im Verfahren; der konkrete Alttext ist nicht mehr öffentlich abrufbar.</t>
        </is>
      </c>
      <c r="E35" s="14" t="inlineStr">
        <is>
          <t>Bitterfeld-Wolfen</t>
        </is>
      </c>
      <c r="F35" s="14" t="inlineStr">
        <is>
          <t>Sachsen-Anhalt</t>
        </is>
      </c>
      <c r="G35" s="14" t="inlineStr">
        <is>
          <t>Martina Scheuermann (Vorstand)</t>
        </is>
      </c>
      <c r="H35" s="19" t="inlineStr">
        <is>
          <t>Nicht öffentlich verifizierbar; die amtliche Altveröffentlichung ist nicht mehr abrufbar.</t>
        </is>
      </c>
      <c r="I35" s="19" t="inlineStr">
        <is>
          <t>Details</t>
        </is>
      </c>
      <c r="J35" s="19" t="inlineStr">
        <is>
          <t>Details</t>
        </is>
      </c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83.25" customHeight="1">
      <c r="A36" s="14" t="inlineStr">
        <is>
          <t>SL Intensive Care GmbH</t>
        </is>
      </c>
      <c r="B36" s="18" t="n">
        <v>45426</v>
      </c>
      <c r="C36" s="16" t="n">
        <v>45947</v>
      </c>
      <c r="D36" s="19" t="inlineStr">
        <is>
          <t>Das Gericht traf eine weitere Entscheidung im eröffneten Insolvenzverfahren.</t>
        </is>
      </c>
      <c r="E36" s="14" t="inlineStr">
        <is>
          <t>München</t>
        </is>
      </c>
      <c r="F36" s="14" t="inlineStr">
        <is>
          <t>Bayern</t>
        </is>
      </c>
      <c r="G36" s="14" t="inlineStr">
        <is>
          <t>Sophia Lehn</t>
        </is>
      </c>
      <c r="H36" s="19" t="inlineStr">
        <is>
          <t>Rechtsanwältin Andrea Thiel
Erbprinzenstraße 27, 76133 Karlsruhe | Tel. 0721 9338060 | Fax 0721 93380622</t>
        </is>
      </c>
      <c r="I36" s="19" t="inlineStr">
        <is>
          <t>Details</t>
        </is>
      </c>
      <c r="J36" s="19" t="inlineStr">
        <is>
          <t>Details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83.25" customHeight="1">
      <c r="A37" s="14" t="inlineStr">
        <is>
          <t>Förde Intensiv Team UG (haftungsbeschänkt)</t>
        </is>
      </c>
      <c r="B37" s="18" t="n">
        <v>45470</v>
      </c>
      <c r="C37" s="16" t="n">
        <v>45923</v>
      </c>
      <c r="D37" s="19" t="inlineStr">
        <is>
          <t>Das Gericht veröffentlichte eine weitere Entscheidung im Verfahren; der konkrete Alttext ist nicht mehr öffentlich abrufbar.</t>
        </is>
      </c>
      <c r="E37" s="14" t="inlineStr">
        <is>
          <t>Kiel</t>
        </is>
      </c>
      <c r="F37" s="14" t="inlineStr">
        <is>
          <t>Schleswig-Holstein</t>
        </is>
      </c>
      <c r="G37" s="14" t="inlineStr">
        <is>
          <t>Jamal Benhsain und Miriam Maat</t>
        </is>
      </c>
      <c r="H37" s="19" t="inlineStr">
        <is>
          <t>Nicht öffentlich verifizierbar; die amtliche Altveröffentlichung ist nicht mehr abrufbar.</t>
        </is>
      </c>
      <c r="I37" s="19" t="inlineStr">
        <is>
          <t>Details</t>
        </is>
      </c>
      <c r="J37" s="19" t="inlineStr">
        <is>
          <t>Details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83.25" customHeight="1">
      <c r="A38" s="14" t="inlineStr">
        <is>
          <t>WeCare Intensiv- und Beatmungspflege UG (haftungsbeschränkt)</t>
        </is>
      </c>
      <c r="B38" s="18" t="n">
        <v>44904</v>
      </c>
      <c r="C38" s="16" t="n">
        <v>45910</v>
      </c>
      <c r="D38" s="19" t="inlineStr">
        <is>
          <t>Das Gericht veröffentlichte eine weitere Entscheidung im eröffneten Insolvenzverfahren.</t>
        </is>
      </c>
      <c r="E38" s="14" t="inlineStr">
        <is>
          <t>Waltrop</t>
        </is>
      </c>
      <c r="F38" s="14" t="inlineStr">
        <is>
          <t>Nordrhein-Westfalen</t>
        </is>
      </c>
      <c r="G38" s="14" t="inlineStr">
        <is>
          <t>Mike Leon Kronsfoth</t>
        </is>
      </c>
      <c r="H38" s="19" t="inlineStr">
        <is>
          <t>Nicht öffentlich verifizierbar; die amtliche Altveröffentlichung ist nicht mehr abrufbar.</t>
        </is>
      </c>
      <c r="I38" s="19" t="inlineStr">
        <is>
          <t>Details</t>
        </is>
      </c>
      <c r="J38" s="19" t="inlineStr">
        <is>
          <t>Details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83.25" customHeight="1">
      <c r="A39" s="14" t="inlineStr">
        <is>
          <t>Simba Häusliche Kinderkranken- und Intensivpflege GmbH</t>
        </is>
      </c>
      <c r="B39" s="18" t="n">
        <v>45225</v>
      </c>
      <c r="C39" s="16" t="n">
        <v>45903</v>
      </c>
      <c r="D39" s="19" t="inlineStr">
        <is>
          <t>Das Gericht setzte beziehungsweise ergänzte die Vergütung des vorläufigen Insolvenzverwalters.</t>
        </is>
      </c>
      <c r="E39" s="14" t="inlineStr">
        <is>
          <t>Unterkirnach</t>
        </is>
      </c>
      <c r="F39" s="14" t="inlineStr">
        <is>
          <t>Baden-Württemberg</t>
        </is>
      </c>
      <c r="G39" s="14" t="inlineStr">
        <is>
          <t>Natalie Maria Kosellek</t>
        </is>
      </c>
      <c r="H39" s="19" t="inlineStr">
        <is>
          <t>Nicht öffentlich verifizierbar; die amtliche Altveröffentlichung ist nicht mehr abrufbar.</t>
        </is>
      </c>
      <c r="I39" s="19" t="inlineStr">
        <is>
          <t>Details</t>
        </is>
      </c>
      <c r="J39" s="19" t="inlineStr">
        <is>
          <t>Details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83.25" customHeight="1">
      <c r="A40" s="14" t="inlineStr">
        <is>
          <t>Nilla ambulante Kranken- und Intensivpflege GmbH</t>
        </is>
      </c>
      <c r="B40" s="18" t="n">
        <v>45902</v>
      </c>
      <c r="C40" s="16" t="n">
        <v>45902</v>
      </c>
      <c r="D40" s="19" t="inlineStr">
        <is>
          <t>Der Insolvenzantrag wurde mangels Masse abgewiesen; ein Insolvenzverwalter wurde nicht bestellt.</t>
        </is>
      </c>
      <c r="E40" s="14" t="inlineStr">
        <is>
          <t>Varel</t>
        </is>
      </c>
      <c r="F40" s="14" t="inlineStr">
        <is>
          <t>Niedersachsen</t>
        </is>
      </c>
      <c r="G40" s="14" t="inlineStr">
        <is>
          <t>Idette Krause</t>
        </is>
      </c>
      <c r="H40" s="19" t="inlineStr">
        <is>
          <t>Kein Insolvenzverwalter bestellt; der Antrag wurde mangels Masse abgewiesen.</t>
        </is>
      </c>
      <c r="I40" s="19" t="inlineStr">
        <is>
          <t>Details</t>
        </is>
      </c>
      <c r="J40" s="19" t="inlineStr">
        <is>
          <t>Details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83.25" customHeight="1">
      <c r="A41" s="14" t="inlineStr">
        <is>
          <t>ILD Intensivpflege Lahn-Dill GmbH</t>
        </is>
      </c>
      <c r="B41" s="18" t="n">
        <v>45236</v>
      </c>
      <c r="C41" s="16" t="n">
        <v>45419</v>
      </c>
      <c r="D41" s="19" t="inlineStr">
        <is>
          <t>Das Gericht veröffentlichte eine weitere Entscheidung im Insolvenzverfahren; der konkrete Alttext ist nicht mehr öffentlich abrufbar.</t>
        </is>
      </c>
      <c r="E41" s="14" t="inlineStr">
        <is>
          <t>Wetzlar</t>
        </is>
      </c>
      <c r="F41" s="14" t="inlineStr">
        <is>
          <t>Hessen</t>
        </is>
      </c>
      <c r="G41" s="14" t="inlineStr">
        <is>
          <t>Samet Zanbakoglu</t>
        </is>
      </c>
      <c r="H41" s="19" t="inlineStr">
        <is>
          <t>Nicht öffentlich verifizierbar; die amtliche Altveröffentlichung ist nicht mehr abrufbar.</t>
        </is>
      </c>
      <c r="I41" s="19" t="inlineStr">
        <is>
          <t>Details</t>
        </is>
      </c>
      <c r="J41" s="19" t="inlineStr">
        <is>
          <t>Details</t>
        </is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83.25" customHeight="1">
      <c r="A42" s="14" t="inlineStr">
        <is>
          <t>DaLon GmbH Ambulanter und Intensiv Pflegedienst</t>
        </is>
      </c>
      <c r="B42" s="18" t="n">
        <v>45355</v>
      </c>
      <c r="C42" s="16" t="n">
        <v>45415</v>
      </c>
      <c r="D42" s="19" t="inlineStr">
        <is>
          <t>Das Gericht beendete das Insolvenzeröffnungsverfahren beziehungsweise hob die vorläufigen Maßnahmen auf.</t>
        </is>
      </c>
      <c r="E42" s="14" t="inlineStr">
        <is>
          <t>Planegg</t>
        </is>
      </c>
      <c r="F42" s="14" t="inlineStr">
        <is>
          <t>Bayern</t>
        </is>
      </c>
      <c r="G42" s="14" t="inlineStr">
        <is>
          <t>Perica Milekic</t>
        </is>
      </c>
      <c r="H42" s="19" t="inlineStr">
        <is>
          <t>Nicht öffentlich verifizierbar; die amtliche Altveröffentlichung ist nicht mehr abrufbar.</t>
        </is>
      </c>
      <c r="I42" s="19" t="inlineStr">
        <is>
          <t>Details</t>
        </is>
      </c>
      <c r="J42" s="19" t="inlineStr">
        <is>
          <t>Details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83.25" customHeight="1">
      <c r="A43" s="14" t="inlineStr">
        <is>
          <t>Wohlfühlintensivpflege GmbH</t>
        </is>
      </c>
      <c r="B43" s="18" t="n">
        <v>45296</v>
      </c>
      <c r="C43" s="16" t="n">
        <v>45386</v>
      </c>
      <c r="D43" s="19" t="inlineStr">
        <is>
          <t>Das Gericht veröffentlichte eine weitere Entscheidung im Verfahren; der konkrete Alttext ist nicht mehr öffentlich abrufbar.</t>
        </is>
      </c>
      <c r="E43" s="14" t="inlineStr">
        <is>
          <t>Liebenau</t>
        </is>
      </c>
      <c r="F43" s="14" t="inlineStr">
        <is>
          <t>Hessen</t>
        </is>
      </c>
      <c r="G43" s="14" t="inlineStr">
        <is>
          <t>Patricia Yörükoglu</t>
        </is>
      </c>
      <c r="H43" s="19" t="inlineStr">
        <is>
          <t>Nicht öffentlich verifizierbar; die amtliche Altveröffentlichung ist nicht mehr abrufbar.</t>
        </is>
      </c>
      <c r="I43" s="19" t="inlineStr">
        <is>
          <t>Details</t>
        </is>
      </c>
      <c r="J43" s="19" t="inlineStr">
        <is>
          <t>Details</t>
        </is>
      </c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83.25" customHeight="1">
      <c r="A44" s="14" t="inlineStr">
        <is>
          <t>Auxilio Intensiv Care GmbH</t>
        </is>
      </c>
      <c r="B44" s="18" t="n">
        <v>45384</v>
      </c>
      <c r="C44" s="16" t="n">
        <v>45384</v>
      </c>
      <c r="D44" s="19" t="inlineStr">
        <is>
          <t>Der Insolvenzantrag wurde mangels Masse abgewiesen; ein Insolvenzverwalter wurde nicht bestellt.</t>
        </is>
      </c>
      <c r="E44" s="14" t="inlineStr">
        <is>
          <t>Jülich</t>
        </is>
      </c>
      <c r="F44" s="14" t="inlineStr">
        <is>
          <t>Nordrhein-Westfalen</t>
        </is>
      </c>
      <c r="G44" s="14" t="inlineStr">
        <is>
          <t>Amparo Fernandez Vera und André Björn Nowak</t>
        </is>
      </c>
      <c r="H44" s="19" t="inlineStr">
        <is>
          <t>Kein Insolvenzverwalter bestellt; der Antrag wurde mangels Masse abgewiesen.</t>
        </is>
      </c>
      <c r="I44" s="19" t="inlineStr">
        <is>
          <t>Details</t>
        </is>
      </c>
      <c r="J44" s="19" t="inlineStr">
        <is>
          <t>Details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83.25" customHeight="1">
      <c r="A45" s="14" t="inlineStr">
        <is>
          <t>relinquo Intensivpflegedienst GmbH</t>
        </is>
      </c>
      <c r="B45" s="18" t="n">
        <v>45337</v>
      </c>
      <c r="C45" s="16" t="n">
        <v>45337</v>
      </c>
      <c r="D45" s="19" t="inlineStr">
        <is>
          <t>Der Insolvenzantrag wurde mangels Masse abgewiesen; die Gesellschaft wurde aufgelöst.</t>
        </is>
      </c>
      <c r="E45" s="14" t="inlineStr">
        <is>
          <t>Werneck</t>
        </is>
      </c>
      <c r="F45" s="14" t="inlineStr">
        <is>
          <t>Bayern</t>
        </is>
      </c>
      <c r="G45" s="14" t="inlineStr">
        <is>
          <t>Dominique Eduard Hubertus Michel (Liquidator)</t>
        </is>
      </c>
      <c r="H45" s="19" t="inlineStr">
        <is>
          <t>Kein Insolvenzverwalter bestellt; der Antrag wurde mangels Masse abgewiesen.</t>
        </is>
      </c>
      <c r="I45" s="19" t="inlineStr">
        <is>
          <t>Details</t>
        </is>
      </c>
      <c r="J45" s="19" t="inlineStr">
        <is>
          <t>Details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83.25" customHeight="1">
      <c r="A46" s="14" t="inlineStr">
        <is>
          <t>MediAir GmbH Intensiv- und Beatmungspflege</t>
        </is>
      </c>
      <c r="B46" s="18" t="n">
        <v>44301</v>
      </c>
      <c r="C46" s="16" t="n">
        <v>45287</v>
      </c>
      <c r="D46" s="19" t="inlineStr">
        <is>
          <t>Das Gericht veröffentlichte eine weitere Entscheidung im Insolvenzverfahren; der konkrete Alttext ist nicht mehr öffentlich abrufbar.</t>
        </is>
      </c>
      <c r="E46" s="14" t="inlineStr">
        <is>
          <t>Lünen</t>
        </is>
      </c>
      <c r="F46" s="14" t="inlineStr">
        <is>
          <t>Nordrhein-Westfalen</t>
        </is>
      </c>
      <c r="G46" s="14" t="inlineStr">
        <is>
          <t>Carina Kronsfoth (zum Verfahrensbeginn)</t>
        </is>
      </c>
      <c r="H46" s="19" t="inlineStr">
        <is>
          <t>Nicht öffentlich verifizierbar; die amtliche Altveröffentlichung ist nicht mehr abrufbar.</t>
        </is>
      </c>
      <c r="I46" s="19" t="inlineStr">
        <is>
          <t>Details</t>
        </is>
      </c>
      <c r="J46" s="19" t="inlineStr">
        <is>
          <t>Details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83.25" customHeight="1">
      <c r="A47" s="14" t="inlineStr">
        <is>
          <t>Intensiv Care Lünen UG</t>
        </is>
      </c>
      <c r="B47" s="18" t="n">
        <v>45280</v>
      </c>
      <c r="C47" s="16" t="n">
        <v>45280</v>
      </c>
      <c r="D47" s="19" t="inlineStr">
        <is>
          <t>Das Gericht veröffentlichte eine Entscheidung im Verfahren; der konkrete Alttext ist nicht mehr öffentlich abrufbar.</t>
        </is>
      </c>
      <c r="E47" s="14" t="inlineStr">
        <is>
          <t>Lünen</t>
        </is>
      </c>
      <c r="F47" s="14" t="inlineStr">
        <is>
          <t>Nordrhein-Westfalen</t>
        </is>
      </c>
      <c r="G47" s="14" t="inlineStr">
        <is>
          <t>Bianca Braun (spätere Registerangabe; Organ zum Veröffentlichungszeitpunkt nicht eindeutig verifizierbar)</t>
        </is>
      </c>
      <c r="H47" s="19" t="inlineStr">
        <is>
          <t>Nicht öffentlich verifizierbar; die amtliche Altveröffentlichung ist nicht mehr abrufbar.</t>
        </is>
      </c>
      <c r="I47" s="19" t="inlineStr">
        <is>
          <t>Details</t>
        </is>
      </c>
      <c r="J47" s="19" t="inlineStr">
        <is>
          <t>Details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83.25" customHeight="1">
      <c r="A48" s="14" t="inlineStr">
        <is>
          <t>SAN Intensivpflege GmbH</t>
        </is>
      </c>
      <c r="B48" s="18" t="n">
        <v>45268</v>
      </c>
      <c r="C48" s="16" t="n">
        <v>45268</v>
      </c>
      <c r="D48" s="19" t="inlineStr">
        <is>
          <t>Das Gericht veröffentlichte eine Entscheidung im Verfahren; der konkrete Alttext ist nicht mehr öffentlich abrufbar.</t>
        </is>
      </c>
      <c r="E48" s="14" t="inlineStr">
        <is>
          <t>Schlüchtern</t>
        </is>
      </c>
      <c r="F48" s="14" t="inlineStr">
        <is>
          <t>Hessen</t>
        </is>
      </c>
      <c r="G48" s="14" t="inlineStr">
        <is>
          <t>Nicht öffentlich verifizierbar; die historischen Registerangaben waren nicht frei abrufbar.</t>
        </is>
      </c>
      <c r="H48" s="19" t="inlineStr">
        <is>
          <t>Nicht öffentlich verifizierbar; die amtliche Altveröffentlichung ist nicht mehr abrufbar.</t>
        </is>
      </c>
      <c r="I48" s="19" t="inlineStr">
        <is>
          <t>Details</t>
        </is>
      </c>
      <c r="J48" s="19" t="inlineStr">
        <is>
          <t>Details</t>
        </is>
      </c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83.25" customHeight="1">
      <c r="A49" s="14" t="inlineStr">
        <is>
          <t>CERATONIA-außerklinische ambulante Intensivpflege GmbH</t>
        </is>
      </c>
      <c r="B49" s="18" t="n">
        <v>45267</v>
      </c>
      <c r="C49" s="16" t="n">
        <v>45267</v>
      </c>
      <c r="D49" s="19" t="inlineStr">
        <is>
          <t>Der Insolvenzantrag wurde mangels Masse abgewiesen; ein Insolvenzverwalter wurde nicht bestellt.</t>
        </is>
      </c>
      <c r="E49" s="14" t="inlineStr">
        <is>
          <t>Hasbergen</t>
        </is>
      </c>
      <c r="F49" s="14" t="inlineStr">
        <is>
          <t>Niedersachsen</t>
        </is>
      </c>
      <c r="G49" s="14" t="inlineStr">
        <is>
          <t>Mihail Spataru</t>
        </is>
      </c>
      <c r="H49" s="19" t="inlineStr">
        <is>
          <t>Kein Insolvenzverwalter bestellt; der Antrag wurde mangels Masse abgewiesen.</t>
        </is>
      </c>
      <c r="I49" s="19" t="inlineStr">
        <is>
          <t>Details</t>
        </is>
      </c>
      <c r="J49" s="19" t="inlineStr">
        <is>
          <t>Details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83.25" customHeight="1">
      <c r="A50" s="14" t="inlineStr">
        <is>
          <t>MVM Intensiv und Heimbeatmungsdienst GmbH</t>
        </is>
      </c>
      <c r="B50" s="18" t="n">
        <v>44410</v>
      </c>
      <c r="C50" s="16" t="n">
        <v>45246</v>
      </c>
      <c r="D50" s="19" t="inlineStr">
        <is>
          <t>Das Gericht veröffentlichte eine weitere Entscheidung im laufenden Insolvenzverfahren.</t>
        </is>
      </c>
      <c r="E50" s="14" t="inlineStr">
        <is>
          <t>Fürth</t>
        </is>
      </c>
      <c r="F50" s="14" t="inlineStr">
        <is>
          <t>Bayern</t>
        </is>
      </c>
      <c r="G50" s="14" t="inlineStr">
        <is>
          <t>Vladimir Babic und Mira Blascanin (zum Verfahrensbeginn)</t>
        </is>
      </c>
      <c r="H50" s="19" t="inlineStr">
        <is>
          <t>Nicht öffentlich verifizierbar; die amtliche Altveröffentlichung ist nicht mehr abrufbar.</t>
        </is>
      </c>
      <c r="I50" s="19" t="inlineStr">
        <is>
          <t>Details</t>
        </is>
      </c>
      <c r="J50" s="19" t="inlineStr">
        <is>
          <t>Details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83.25" customHeight="1">
      <c r="A51" s="14" t="inlineStr">
        <is>
          <t>Knöpfchen Intensivpflege GmbH</t>
        </is>
      </c>
      <c r="B51" s="18" t="n">
        <v>45219</v>
      </c>
      <c r="C51" s="16" t="n">
        <v>45219</v>
      </c>
      <c r="D51" s="19" t="inlineStr">
        <is>
          <t>Das Gericht veröffentlichte eine Entscheidung im Verfahren; der konkrete Alttext ist nicht mehr öffentlich abrufbar.</t>
        </is>
      </c>
      <c r="E51" s="14" t="inlineStr">
        <is>
          <t>Sydower Fließ</t>
        </is>
      </c>
      <c r="F51" s="14" t="inlineStr">
        <is>
          <t>Brandenburg</t>
        </is>
      </c>
      <c r="G51" s="14" t="inlineStr">
        <is>
          <t>Raphael Langstädtler</t>
        </is>
      </c>
      <c r="H51" s="19" t="inlineStr">
        <is>
          <t>Nicht öffentlich verifizierbar; die amtliche Altveröffentlichung ist nicht mehr abrufbar.</t>
        </is>
      </c>
      <c r="I51" s="19" t="inlineStr">
        <is>
          <t>Details</t>
        </is>
      </c>
      <c r="J51" s="19" t="inlineStr">
        <is>
          <t>Details</t>
        </is>
      </c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83.25" customHeight="1">
      <c r="A52" s="14" t="inlineStr">
        <is>
          <t>flair GmbH ambulanter Beatmungs- und Intensivpflegedienst</t>
        </is>
      </c>
      <c r="B52" s="18" t="n">
        <v>45040</v>
      </c>
      <c r="C52" s="16" t="n">
        <v>45083</v>
      </c>
      <c r="D52" s="50" t="inlineStr">
        <is>
          <t>Das Gericht veröffentlichte eine weitere Entscheidung im Insolvenzverfahren.</t>
        </is>
      </c>
      <c r="E52" s="14" t="inlineStr">
        <is>
          <t>Nettersheim</t>
        </is>
      </c>
      <c r="F52" s="14" t="inlineStr">
        <is>
          <t>Nordrhein-Westfalen</t>
        </is>
      </c>
      <c r="G52" s="14" t="inlineStr">
        <is>
          <t>Michael Fink</t>
        </is>
      </c>
      <c r="H52" s="19" t="inlineStr">
        <is>
          <t>Rechtsanwältin Kristina Wessing
NIERING STOCK TÖMP, Sachsenring 69, 50677 Köln | Tel. 0221 992230-0 | koeln@nst-inso.com</t>
        </is>
      </c>
      <c r="I52" s="19" t="inlineStr">
        <is>
          <t>Details</t>
        </is>
      </c>
      <c r="J52" s="19" t="inlineStr">
        <is>
          <t>Details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83.25" customHeight="1"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83.25" customHeight="1">
      <c r="A54" s="1" t="n"/>
      <c r="C54" s="2" t="n"/>
      <c r="E54" s="1" t="n"/>
      <c r="F54" s="1" t="n"/>
      <c r="G54" s="12" t="n"/>
      <c r="H54" s="3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83.25" customHeight="1">
      <c r="A55" s="1" t="n"/>
      <c r="C55" s="2" t="n"/>
      <c r="E55" s="1" t="n"/>
      <c r="F55" s="1" t="n"/>
      <c r="G55" s="12" t="n"/>
      <c r="H55" s="3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83.25" customHeight="1">
      <c r="A56" s="1" t="n"/>
      <c r="C56" s="2" t="n"/>
      <c r="E56" s="1" t="n"/>
      <c r="F56" s="1" t="n"/>
      <c r="G56" s="12" t="n"/>
      <c r="H56" s="3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83.25" customHeight="1">
      <c r="A57" s="1" t="n"/>
      <c r="C57" s="2" t="n"/>
      <c r="E57" s="1" t="n"/>
      <c r="F57" s="1" t="n"/>
      <c r="G57" s="12" t="n"/>
      <c r="H57" s="3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83.25" customHeight="1">
      <c r="A58" s="1" t="n"/>
      <c r="C58" s="2" t="n"/>
      <c r="E58" s="1" t="n"/>
      <c r="F58" s="1" t="n"/>
      <c r="G58" s="12" t="n"/>
      <c r="H58" s="3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83.25" customHeight="1">
      <c r="A59" s="1" t="n"/>
      <c r="C59" s="2" t="n"/>
      <c r="E59" s="1" t="n"/>
      <c r="F59" s="1" t="n"/>
      <c r="G59" s="12" t="n"/>
      <c r="H59" s="3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83.25" customHeight="1">
      <c r="A60" s="1" t="n"/>
      <c r="C60" s="2" t="n"/>
      <c r="E60" s="1" t="n"/>
      <c r="F60" s="1" t="n"/>
      <c r="G60" s="12" t="n"/>
      <c r="H60" s="3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83.25" customHeight="1">
      <c r="A61" s="1" t="n"/>
      <c r="C61" s="2" t="n"/>
      <c r="E61" s="1" t="n"/>
      <c r="F61" s="1" t="n"/>
      <c r="G61" s="12" t="n"/>
      <c r="H61" s="3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83.25" customHeight="1">
      <c r="A62" s="1" t="n"/>
      <c r="C62" s="2" t="n"/>
      <c r="E62" s="1" t="n"/>
      <c r="F62" s="1" t="n"/>
      <c r="G62" s="12" t="n"/>
      <c r="H62" s="3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83.25" customHeight="1">
      <c r="A63" s="1" t="n"/>
      <c r="C63" s="2" t="n"/>
      <c r="E63" s="1" t="n"/>
      <c r="F63" s="1" t="n"/>
      <c r="G63" s="12" t="n"/>
      <c r="H63" s="3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83.25" customHeight="1">
      <c r="A64" s="1" t="n"/>
      <c r="C64" s="2" t="n"/>
      <c r="E64" s="1" t="n"/>
      <c r="F64" s="1" t="n"/>
      <c r="G64" s="12" t="n"/>
      <c r="H64" s="3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83.25" customHeight="1">
      <c r="A65" s="1" t="n"/>
      <c r="C65" s="2" t="n"/>
      <c r="E65" s="1" t="n"/>
      <c r="F65" s="1" t="n"/>
      <c r="G65" s="12" t="n"/>
      <c r="H65" s="3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83.25" customHeight="1">
      <c r="A66" s="1" t="n"/>
      <c r="C66" s="2" t="n"/>
      <c r="E66" s="1" t="n"/>
      <c r="F66" s="1" t="n"/>
      <c r="G66" s="12" t="n"/>
      <c r="H66" s="3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83.25" customHeight="1">
      <c r="A67" s="1" t="n"/>
      <c r="C67" s="2" t="n"/>
      <c r="E67" s="1" t="n"/>
      <c r="F67" s="1" t="n"/>
      <c r="G67" s="12" t="n"/>
      <c r="H67" s="3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83.25" customHeight="1">
      <c r="A68" s="1" t="n"/>
      <c r="C68" s="2" t="n"/>
      <c r="E68" s="1" t="n"/>
      <c r="F68" s="1" t="n"/>
      <c r="G68" s="12" t="n"/>
      <c r="H68" s="3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83.25" customHeight="1">
      <c r="A69" s="1" t="n"/>
      <c r="C69" s="2" t="n"/>
      <c r="E69" s="1" t="n"/>
      <c r="F69" s="1" t="n"/>
      <c r="G69" s="12" t="n"/>
      <c r="H69" s="3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83.25" customHeight="1">
      <c r="A70" s="1" t="n"/>
      <c r="C70" s="2" t="n"/>
      <c r="E70" s="1" t="n"/>
      <c r="F70" s="1" t="n"/>
      <c r="G70" s="12" t="n"/>
      <c r="H70" s="3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83.25" customHeight="1">
      <c r="A71" s="1" t="n"/>
      <c r="C71" s="2" t="n"/>
      <c r="E71" s="1" t="n"/>
      <c r="F71" s="1" t="n"/>
      <c r="G71" s="12" t="n"/>
      <c r="H71" s="3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83.25" customHeight="1">
      <c r="A72" s="1" t="n"/>
      <c r="C72" s="2" t="n"/>
      <c r="E72" s="1" t="n"/>
      <c r="F72" s="1" t="n"/>
      <c r="G72" s="12" t="n"/>
      <c r="H72" s="3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83.25" customHeight="1">
      <c r="A73" s="1" t="n"/>
      <c r="C73" s="2" t="n"/>
      <c r="E73" s="1" t="n"/>
      <c r="F73" s="1" t="n"/>
      <c r="G73" s="12" t="n"/>
      <c r="H73" s="3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83.25" customHeight="1">
      <c r="A74" s="1" t="n"/>
      <c r="C74" s="2" t="n"/>
      <c r="E74" s="1" t="n"/>
      <c r="F74" s="1" t="n"/>
      <c r="G74" s="12" t="n"/>
      <c r="H74" s="3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83.25" customHeight="1">
      <c r="A75" s="1" t="n"/>
      <c r="C75" s="2" t="n"/>
      <c r="E75" s="1" t="n"/>
      <c r="F75" s="1" t="n"/>
      <c r="G75" s="12" t="n"/>
      <c r="H75" s="3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83.25" customHeight="1">
      <c r="A76" s="1" t="n"/>
      <c r="C76" s="2" t="n"/>
      <c r="E76" s="1" t="n"/>
      <c r="F76" s="1" t="n"/>
      <c r="G76" s="12" t="n"/>
      <c r="H76" s="3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83.25" customHeight="1">
      <c r="A77" s="1" t="n"/>
      <c r="C77" s="2" t="n"/>
      <c r="E77" s="1" t="n"/>
      <c r="F77" s="1" t="n"/>
      <c r="G77" s="12" t="n"/>
      <c r="H77" s="3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83.25" customHeight="1">
      <c r="A78" s="1" t="n"/>
      <c r="C78" s="2" t="n"/>
      <c r="E78" s="1" t="n"/>
      <c r="F78" s="1" t="n"/>
      <c r="G78" s="12" t="n"/>
      <c r="H78" s="3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83.25" customHeight="1">
      <c r="A79" s="1" t="n"/>
      <c r="C79" s="2" t="n"/>
      <c r="E79" s="1" t="n"/>
      <c r="F79" s="1" t="n"/>
      <c r="G79" s="12" t="n"/>
      <c r="H79" s="3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83.25" customHeight="1">
      <c r="A80" s="1" t="n"/>
      <c r="C80" s="2" t="n"/>
      <c r="E80" s="1" t="n"/>
      <c r="F80" s="1" t="n"/>
      <c r="G80" s="12" t="n"/>
      <c r="H80" s="3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83.25" customHeight="1">
      <c r="A81" s="1" t="n"/>
      <c r="C81" s="2" t="n"/>
      <c r="E81" s="1" t="n"/>
      <c r="F81" s="1" t="n"/>
      <c r="G81" s="12" t="n"/>
      <c r="H81" s="3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83.25" customHeight="1">
      <c r="A82" s="1" t="n"/>
      <c r="C82" s="2" t="n"/>
      <c r="E82" s="1" t="n"/>
      <c r="F82" s="1" t="n"/>
      <c r="G82" s="12" t="n"/>
      <c r="H82" s="3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83.25" customHeight="1">
      <c r="A83" s="1" t="n"/>
      <c r="C83" s="2" t="n"/>
      <c r="E83" s="1" t="n"/>
      <c r="F83" s="1" t="n"/>
      <c r="G83" s="12" t="n"/>
      <c r="H83" s="3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83.25" customHeight="1">
      <c r="A84" s="1" t="n"/>
      <c r="C84" s="2" t="n"/>
      <c r="E84" s="1" t="n"/>
      <c r="F84" s="1" t="n"/>
      <c r="G84" s="12" t="n"/>
      <c r="H84" s="3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83.25" customHeight="1">
      <c r="A85" s="1" t="n"/>
      <c r="C85" s="2" t="n"/>
      <c r="E85" s="1" t="n"/>
      <c r="F85" s="1" t="n"/>
      <c r="G85" s="12" t="n"/>
      <c r="H85" s="3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83.25" customHeight="1">
      <c r="A86" s="1" t="n"/>
      <c r="C86" s="2" t="n"/>
      <c r="E86" s="1" t="n"/>
      <c r="F86" s="1" t="n"/>
      <c r="G86" s="12" t="n"/>
      <c r="H86" s="3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83.25" customHeight="1">
      <c r="A87" s="1" t="n"/>
      <c r="C87" s="2" t="n"/>
      <c r="E87" s="1" t="n"/>
      <c r="F87" s="1" t="n"/>
      <c r="G87" s="12" t="n"/>
      <c r="H87" s="3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83.25" customHeight="1">
      <c r="A88" s="1" t="n"/>
      <c r="C88" s="2" t="n"/>
      <c r="E88" s="1" t="n"/>
      <c r="F88" s="1" t="n"/>
      <c r="G88" s="12" t="n"/>
      <c r="H88" s="3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83.25" customHeight="1">
      <c r="A89" s="1" t="n"/>
      <c r="C89" s="2" t="n"/>
      <c r="E89" s="1" t="n"/>
      <c r="F89" s="1" t="n"/>
      <c r="G89" s="12" t="n"/>
      <c r="H89" s="3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83.25" customHeight="1">
      <c r="A90" s="1" t="n"/>
      <c r="C90" s="2" t="n"/>
      <c r="E90" s="1" t="n"/>
      <c r="F90" s="1" t="n"/>
      <c r="G90" s="12" t="n"/>
      <c r="H90" s="3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83.25" customHeight="1">
      <c r="A91" s="1" t="n"/>
      <c r="C91" s="2" t="n"/>
      <c r="E91" s="1" t="n"/>
      <c r="F91" s="1" t="n"/>
      <c r="G91" s="12" t="n"/>
      <c r="H91" s="3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83.25" customHeight="1">
      <c r="A92" s="1" t="n"/>
      <c r="C92" s="2" t="n"/>
      <c r="E92" s="1" t="n"/>
      <c r="F92" s="1" t="n"/>
      <c r="G92" s="12" t="n"/>
      <c r="H92" s="3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83.25" customHeight="1">
      <c r="A93" s="1" t="n"/>
      <c r="C93" s="2" t="n"/>
      <c r="E93" s="1" t="n"/>
      <c r="F93" s="1" t="n"/>
      <c r="G93" s="12" t="n"/>
      <c r="H93" s="3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83.25" customHeight="1">
      <c r="A94" s="1" t="n"/>
      <c r="C94" s="2" t="n"/>
      <c r="E94" s="1" t="n"/>
      <c r="F94" s="1" t="n"/>
      <c r="G94" s="12" t="n"/>
      <c r="H94" s="3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83.25" customHeight="1">
      <c r="A95" s="1" t="n"/>
      <c r="C95" s="2" t="n"/>
      <c r="E95" s="1" t="n"/>
      <c r="F95" s="1" t="n"/>
      <c r="G95" s="12" t="n"/>
      <c r="H95" s="3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83.25" customHeight="1">
      <c r="A96" s="1" t="n"/>
      <c r="C96" s="2" t="n"/>
      <c r="E96" s="1" t="n"/>
      <c r="F96" s="1" t="n"/>
      <c r="G96" s="12" t="n"/>
      <c r="H96" s="3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83.25" customHeight="1">
      <c r="A97" s="1" t="n"/>
      <c r="C97" s="2" t="n"/>
      <c r="E97" s="1" t="n"/>
      <c r="F97" s="1" t="n"/>
      <c r="G97" s="12" t="n"/>
      <c r="H97" s="3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83.25" customHeight="1">
      <c r="A98" s="1" t="n"/>
      <c r="C98" s="2" t="n"/>
      <c r="E98" s="1" t="n"/>
      <c r="F98" s="1" t="n"/>
      <c r="G98" s="12" t="n"/>
      <c r="H98" s="3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83.25" customHeight="1">
      <c r="A99" s="1" t="n"/>
      <c r="C99" s="2" t="n"/>
      <c r="E99" s="1" t="n"/>
      <c r="F99" s="1" t="n"/>
      <c r="G99" s="12" t="n"/>
      <c r="H99" s="3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83.25" customHeight="1">
      <c r="A100" s="1" t="n"/>
      <c r="C100" s="2" t="n"/>
      <c r="E100" s="1" t="n"/>
      <c r="F100" s="1" t="n"/>
      <c r="G100" s="12" t="n"/>
      <c r="H100" s="3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83.25" customHeight="1">
      <c r="A101" s="1" t="n"/>
      <c r="C101" s="2" t="n"/>
      <c r="E101" s="1" t="n"/>
      <c r="F101" s="1" t="n"/>
      <c r="G101" s="12" t="n"/>
      <c r="H101" s="3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83.25" customHeight="1">
      <c r="A102" s="1" t="n"/>
      <c r="C102" s="2" t="n"/>
      <c r="E102" s="1" t="n"/>
      <c r="F102" s="1" t="n"/>
      <c r="G102" s="12" t="n"/>
      <c r="H102" s="3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83.25" customHeight="1">
      <c r="A103" s="1" t="n"/>
      <c r="C103" s="2" t="n"/>
      <c r="E103" s="1" t="n"/>
      <c r="F103" s="1" t="n"/>
      <c r="G103" s="12" t="n"/>
      <c r="H103" s="3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83.25" customHeight="1">
      <c r="A104" s="1" t="n"/>
      <c r="C104" s="2" t="n"/>
      <c r="E104" s="1" t="n"/>
      <c r="F104" s="1" t="n"/>
      <c r="G104" s="12" t="n"/>
      <c r="H104" s="3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83.25" customHeight="1">
      <c r="A105" s="1" t="n"/>
      <c r="C105" s="2" t="n"/>
      <c r="E105" s="1" t="n"/>
      <c r="F105" s="1" t="n"/>
      <c r="G105" s="12" t="n"/>
      <c r="H105" s="3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83.25" customHeight="1">
      <c r="A106" s="1" t="n"/>
      <c r="C106" s="2" t="n"/>
      <c r="E106" s="1" t="n"/>
      <c r="F106" s="1" t="n"/>
      <c r="G106" s="12" t="n"/>
      <c r="H106" s="3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83.25" customHeight="1">
      <c r="A107" s="1" t="n"/>
      <c r="C107" s="2" t="n"/>
      <c r="E107" s="1" t="n"/>
      <c r="F107" s="1" t="n"/>
      <c r="G107" s="12" t="n"/>
      <c r="H107" s="3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83.25" customHeight="1">
      <c r="A108" s="1" t="n"/>
      <c r="C108" s="2" t="n"/>
      <c r="E108" s="1" t="n"/>
      <c r="F108" s="1" t="n"/>
      <c r="G108" s="12" t="n"/>
      <c r="H108" s="3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83.25" customHeight="1">
      <c r="A109" s="1" t="n"/>
      <c r="C109" s="2" t="n"/>
      <c r="E109" s="1" t="n"/>
      <c r="F109" s="1" t="n"/>
      <c r="G109" s="12" t="n"/>
      <c r="H109" s="3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83.25" customHeight="1">
      <c r="A110" s="1" t="n"/>
      <c r="C110" s="2" t="n"/>
      <c r="E110" s="1" t="n"/>
      <c r="F110" s="1" t="n"/>
      <c r="G110" s="12" t="n"/>
      <c r="H110" s="3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83.25" customHeight="1">
      <c r="A111" s="1" t="n"/>
      <c r="C111" s="2" t="n"/>
      <c r="E111" s="1" t="n"/>
      <c r="F111" s="1" t="n"/>
      <c r="G111" s="12" t="n"/>
      <c r="H111" s="3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83.25" customHeight="1">
      <c r="A112" s="1" t="n"/>
      <c r="C112" s="2" t="n"/>
      <c r="E112" s="1" t="n"/>
      <c r="F112" s="1" t="n"/>
      <c r="G112" s="12" t="n"/>
      <c r="H112" s="3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83.25" customHeight="1">
      <c r="A113" s="1" t="n"/>
      <c r="C113" s="2" t="n"/>
      <c r="E113" s="1" t="n"/>
      <c r="F113" s="1" t="n"/>
      <c r="G113" s="12" t="n"/>
      <c r="H113" s="3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83.25" customHeight="1">
      <c r="A114" s="1" t="n"/>
      <c r="C114" s="2" t="n"/>
      <c r="E114" s="1" t="n"/>
      <c r="F114" s="1" t="n"/>
      <c r="G114" s="12" t="n"/>
      <c r="H114" s="3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83.25" customHeight="1">
      <c r="A115" s="1" t="n"/>
      <c r="C115" s="2" t="n"/>
      <c r="E115" s="1" t="n"/>
      <c r="F115" s="1" t="n"/>
      <c r="G115" s="12" t="n"/>
      <c r="H115" s="3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83.25" customHeight="1">
      <c r="A116" s="1" t="n"/>
      <c r="C116" s="2" t="n"/>
      <c r="E116" s="1" t="n"/>
      <c r="F116" s="1" t="n"/>
      <c r="G116" s="12" t="n"/>
      <c r="H116" s="3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83.25" customHeight="1">
      <c r="A117" s="1" t="n"/>
      <c r="C117" s="2" t="n"/>
      <c r="E117" s="1" t="n"/>
      <c r="F117" s="1" t="n"/>
      <c r="G117" s="12" t="n"/>
      <c r="H117" s="3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83.25" customHeight="1">
      <c r="A118" s="1" t="n"/>
      <c r="C118" s="2" t="n"/>
      <c r="E118" s="1" t="n"/>
      <c r="F118" s="1" t="n"/>
      <c r="G118" s="12" t="n"/>
      <c r="H118" s="3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83.25" customHeight="1">
      <c r="A119" s="1" t="n"/>
      <c r="C119" s="2" t="n"/>
      <c r="E119" s="1" t="n"/>
      <c r="F119" s="1" t="n"/>
      <c r="G119" s="12" t="n"/>
      <c r="H119" s="3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83.25" customHeight="1">
      <c r="A120" s="1" t="n"/>
      <c r="C120" s="2" t="n"/>
      <c r="E120" s="1" t="n"/>
      <c r="F120" s="1" t="n"/>
      <c r="G120" s="12" t="n"/>
      <c r="H120" s="3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83.25" customHeight="1">
      <c r="A121" s="1" t="n"/>
      <c r="C121" s="2" t="n"/>
      <c r="E121" s="1" t="n"/>
      <c r="F121" s="1" t="n"/>
      <c r="G121" s="12" t="n"/>
      <c r="H121" s="3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83.25" customHeight="1">
      <c r="A122" s="1" t="n"/>
      <c r="C122" s="2" t="n"/>
      <c r="E122" s="1" t="n"/>
      <c r="F122" s="1" t="n"/>
      <c r="G122" s="12" t="n"/>
      <c r="H122" s="3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83.25" customHeight="1">
      <c r="A123" s="1" t="n"/>
      <c r="C123" s="2" t="n"/>
      <c r="E123" s="1" t="n"/>
      <c r="F123" s="1" t="n"/>
      <c r="G123" s="12" t="n"/>
      <c r="H123" s="3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83.25" customHeight="1">
      <c r="A124" s="1" t="n"/>
      <c r="C124" s="2" t="n"/>
      <c r="E124" s="1" t="n"/>
      <c r="F124" s="1" t="n"/>
      <c r="G124" s="12" t="n"/>
      <c r="H124" s="3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83.25" customHeight="1">
      <c r="A125" s="1" t="n"/>
      <c r="C125" s="2" t="n"/>
      <c r="E125" s="1" t="n"/>
      <c r="F125" s="1" t="n"/>
      <c r="G125" s="12" t="n"/>
      <c r="H125" s="3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83.25" customHeight="1">
      <c r="A126" s="1" t="n"/>
      <c r="C126" s="2" t="n"/>
      <c r="E126" s="1" t="n"/>
      <c r="F126" s="1" t="n"/>
      <c r="G126" s="12" t="n"/>
      <c r="H126" s="3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83.25" customHeight="1">
      <c r="A127" s="1" t="n"/>
      <c r="C127" s="2" t="n"/>
      <c r="E127" s="1" t="n"/>
      <c r="F127" s="1" t="n"/>
      <c r="G127" s="12" t="n"/>
      <c r="H127" s="3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83.25" customHeight="1">
      <c r="A128" s="1" t="n"/>
      <c r="C128" s="2" t="n"/>
      <c r="E128" s="1" t="n"/>
      <c r="F128" s="1" t="n"/>
      <c r="G128" s="12" t="n"/>
      <c r="H128" s="3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83.25" customHeight="1">
      <c r="A129" s="1" t="n"/>
      <c r="C129" s="2" t="n"/>
      <c r="E129" s="1" t="n"/>
      <c r="F129" s="1" t="n"/>
      <c r="G129" s="12" t="n"/>
      <c r="H129" s="3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83.25" customHeight="1">
      <c r="A130" s="1" t="n"/>
      <c r="C130" s="2" t="n"/>
      <c r="E130" s="1" t="n"/>
      <c r="F130" s="1" t="n"/>
      <c r="G130" s="12" t="n"/>
      <c r="H130" s="3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83.25" customHeight="1">
      <c r="A131" s="1" t="n"/>
      <c r="C131" s="2" t="n"/>
      <c r="E131" s="1" t="n"/>
      <c r="F131" s="1" t="n"/>
      <c r="G131" s="12" t="n"/>
      <c r="H131" s="3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83.25" customHeight="1">
      <c r="A132" s="1" t="n"/>
      <c r="C132" s="2" t="n"/>
      <c r="E132" s="1" t="n"/>
      <c r="F132" s="1" t="n"/>
      <c r="G132" s="12" t="n"/>
      <c r="H132" s="3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83.25" customHeight="1">
      <c r="A133" s="1" t="n"/>
      <c r="C133" s="2" t="n"/>
      <c r="E133" s="1" t="n"/>
      <c r="F133" s="1" t="n"/>
      <c r="G133" s="12" t="n"/>
      <c r="H133" s="3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83.25" customHeight="1">
      <c r="A134" s="1" t="n"/>
      <c r="C134" s="2" t="n"/>
      <c r="E134" s="1" t="n"/>
      <c r="F134" s="1" t="n"/>
      <c r="G134" s="12" t="n"/>
      <c r="H134" s="3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83.25" customHeight="1">
      <c r="A135" s="1" t="n"/>
      <c r="C135" s="2" t="n"/>
      <c r="E135" s="1" t="n"/>
      <c r="F135" s="1" t="n"/>
      <c r="G135" s="12" t="n"/>
      <c r="H135" s="3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83.25" customHeight="1">
      <c r="A136" s="1" t="n"/>
      <c r="C136" s="2" t="n"/>
      <c r="E136" s="1" t="n"/>
      <c r="F136" s="1" t="n"/>
      <c r="G136" s="12" t="n"/>
      <c r="H136" s="3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83.25" customHeight="1">
      <c r="A137" s="1" t="n"/>
      <c r="C137" s="2" t="n"/>
      <c r="E137" s="1" t="n"/>
      <c r="F137" s="1" t="n"/>
      <c r="G137" s="12" t="n"/>
      <c r="H137" s="3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83.25" customHeight="1">
      <c r="A138" s="1" t="n"/>
      <c r="C138" s="2" t="n"/>
      <c r="E138" s="1" t="n"/>
      <c r="F138" s="1" t="n"/>
      <c r="G138" s="12" t="n"/>
      <c r="H138" s="3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83.25" customHeight="1">
      <c r="A139" s="1" t="n"/>
      <c r="C139" s="2" t="n"/>
      <c r="E139" s="1" t="n"/>
      <c r="F139" s="1" t="n"/>
      <c r="G139" s="12" t="n"/>
      <c r="H139" s="3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83.25" customHeight="1">
      <c r="A140" s="1" t="n"/>
      <c r="C140" s="2" t="n"/>
      <c r="E140" s="1" t="n"/>
      <c r="F140" s="1" t="n"/>
      <c r="G140" s="12" t="n"/>
      <c r="H140" s="3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83.25" customHeight="1">
      <c r="A141" s="1" t="n"/>
      <c r="C141" s="2" t="n"/>
      <c r="E141" s="1" t="n"/>
      <c r="F141" s="1" t="n"/>
      <c r="G141" s="12" t="n"/>
      <c r="H141" s="3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83.25" customHeight="1">
      <c r="A142" s="1" t="n"/>
      <c r="C142" s="2" t="n"/>
      <c r="E142" s="1" t="n"/>
      <c r="F142" s="1" t="n"/>
      <c r="G142" s="12" t="n"/>
      <c r="H142" s="3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83.25" customHeight="1">
      <c r="A143" s="1" t="n"/>
      <c r="C143" s="2" t="n"/>
      <c r="E143" s="1" t="n"/>
      <c r="F143" s="1" t="n"/>
      <c r="G143" s="12" t="n"/>
      <c r="H143" s="3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83.25" customHeight="1">
      <c r="A144" s="1" t="n"/>
      <c r="C144" s="2" t="n"/>
      <c r="E144" s="1" t="n"/>
      <c r="F144" s="1" t="n"/>
      <c r="G144" s="12" t="n"/>
      <c r="H144" s="3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83.25" customHeight="1">
      <c r="A145" s="1" t="n"/>
      <c r="C145" s="2" t="n"/>
      <c r="E145" s="1" t="n"/>
      <c r="F145" s="1" t="n"/>
      <c r="G145" s="12" t="n"/>
      <c r="H145" s="3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83.25" customHeight="1">
      <c r="A146" s="1" t="n"/>
      <c r="C146" s="2" t="n"/>
      <c r="E146" s="1" t="n"/>
      <c r="F146" s="1" t="n"/>
      <c r="G146" s="12" t="n"/>
      <c r="H146" s="3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83.25" customHeight="1">
      <c r="A147" s="1" t="n"/>
      <c r="C147" s="2" t="n"/>
      <c r="E147" s="1" t="n"/>
      <c r="F147" s="1" t="n"/>
      <c r="G147" s="12" t="n"/>
      <c r="H147" s="3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83.25" customHeight="1">
      <c r="A148" s="1" t="n"/>
      <c r="C148" s="2" t="n"/>
      <c r="E148" s="1" t="n"/>
      <c r="F148" s="1" t="n"/>
      <c r="G148" s="12" t="n"/>
      <c r="H148" s="3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83.25" customHeight="1">
      <c r="A149" s="1" t="n"/>
      <c r="C149" s="2" t="n"/>
      <c r="E149" s="1" t="n"/>
      <c r="F149" s="1" t="n"/>
      <c r="G149" s="12" t="n"/>
      <c r="H149" s="3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83.25" customHeight="1">
      <c r="A150" s="1" t="n"/>
      <c r="C150" s="2" t="n"/>
      <c r="E150" s="1" t="n"/>
      <c r="F150" s="1" t="n"/>
      <c r="G150" s="12" t="n"/>
      <c r="H150" s="3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83.25" customHeight="1">
      <c r="A151" s="1" t="n"/>
      <c r="C151" s="2" t="n"/>
      <c r="E151" s="1" t="n"/>
      <c r="F151" s="1" t="n"/>
      <c r="G151" s="12" t="n"/>
      <c r="H151" s="3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83.25" customHeight="1">
      <c r="A152" s="1" t="n"/>
      <c r="C152" s="2" t="n"/>
      <c r="E152" s="1" t="n"/>
      <c r="F152" s="1" t="n"/>
      <c r="G152" s="12" t="n"/>
      <c r="H152" s="3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83.25" customHeight="1">
      <c r="A153" s="1" t="n"/>
      <c r="C153" s="2" t="n"/>
      <c r="E153" s="1" t="n"/>
      <c r="F153" s="1" t="n"/>
      <c r="G153" s="12" t="n"/>
      <c r="H153" s="3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83.25" customHeight="1">
      <c r="A154" s="1" t="n"/>
      <c r="C154" s="2" t="n"/>
      <c r="E154" s="1" t="n"/>
      <c r="F154" s="1" t="n"/>
      <c r="G154" s="12" t="n"/>
      <c r="H154" s="3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83.25" customHeight="1">
      <c r="A155" s="1" t="n"/>
      <c r="C155" s="2" t="n"/>
      <c r="E155" s="1" t="n"/>
      <c r="F155" s="1" t="n"/>
      <c r="G155" s="12" t="n"/>
      <c r="H155" s="3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83.25" customHeight="1">
      <c r="A156" s="1" t="n"/>
      <c r="C156" s="2" t="n"/>
      <c r="E156" s="1" t="n"/>
      <c r="F156" s="1" t="n"/>
      <c r="G156" s="12" t="n"/>
      <c r="H156" s="3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83.25" customHeight="1">
      <c r="A157" s="1" t="n"/>
      <c r="C157" s="2" t="n"/>
      <c r="E157" s="1" t="n"/>
      <c r="F157" s="1" t="n"/>
      <c r="G157" s="12" t="n"/>
      <c r="H157" s="3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83.25" customHeight="1">
      <c r="A158" s="1" t="n"/>
      <c r="C158" s="2" t="n"/>
      <c r="E158" s="1" t="n"/>
      <c r="F158" s="1" t="n"/>
      <c r="G158" s="12" t="n"/>
      <c r="H158" s="3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83.25" customHeight="1">
      <c r="A159" s="1" t="n"/>
      <c r="C159" s="2" t="n"/>
      <c r="E159" s="1" t="n"/>
      <c r="F159" s="1" t="n"/>
      <c r="G159" s="12" t="n"/>
      <c r="H159" s="3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83.25" customHeight="1">
      <c r="A160" s="1" t="n"/>
      <c r="C160" s="2" t="n"/>
      <c r="E160" s="1" t="n"/>
      <c r="F160" s="1" t="n"/>
      <c r="G160" s="12" t="n"/>
      <c r="H160" s="3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83.25" customHeight="1">
      <c r="A161" s="1" t="n"/>
      <c r="C161" s="2" t="n"/>
      <c r="E161" s="1" t="n"/>
      <c r="F161" s="1" t="n"/>
      <c r="G161" s="12" t="n"/>
      <c r="H161" s="3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83.25" customHeight="1">
      <c r="A162" s="1" t="n"/>
      <c r="C162" s="2" t="n"/>
      <c r="E162" s="1" t="n"/>
      <c r="F162" s="1" t="n"/>
      <c r="G162" s="12" t="n"/>
      <c r="H162" s="3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83.25" customHeight="1">
      <c r="A163" s="1" t="n"/>
      <c r="C163" s="2" t="n"/>
      <c r="E163" s="1" t="n"/>
      <c r="F163" s="1" t="n"/>
      <c r="G163" s="12" t="n"/>
      <c r="H163" s="3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83.25" customHeight="1">
      <c r="A164" s="1" t="n"/>
      <c r="C164" s="2" t="n"/>
      <c r="E164" s="1" t="n"/>
      <c r="F164" s="1" t="n"/>
      <c r="G164" s="12" t="n"/>
      <c r="H164" s="3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83.25" customHeight="1">
      <c r="A165" s="1" t="n"/>
      <c r="C165" s="2" t="n"/>
      <c r="E165" s="1" t="n"/>
      <c r="F165" s="1" t="n"/>
      <c r="G165" s="12" t="n"/>
      <c r="H165" s="3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83.25" customHeight="1">
      <c r="A166" s="1" t="n"/>
      <c r="C166" s="2" t="n"/>
      <c r="E166" s="1" t="n"/>
      <c r="F166" s="1" t="n"/>
      <c r="G166" s="12" t="n"/>
      <c r="H166" s="3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83.25" customHeight="1">
      <c r="A167" s="1" t="n"/>
      <c r="C167" s="2" t="n"/>
      <c r="E167" s="1" t="n"/>
      <c r="F167" s="1" t="n"/>
      <c r="G167" s="12" t="n"/>
      <c r="H167" s="3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83.25" customHeight="1">
      <c r="A168" s="1" t="n"/>
      <c r="C168" s="2" t="n"/>
      <c r="E168" s="1" t="n"/>
      <c r="F168" s="1" t="n"/>
      <c r="G168" s="12" t="n"/>
      <c r="H168" s="3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83.25" customHeight="1">
      <c r="A169" s="1" t="n"/>
      <c r="C169" s="2" t="n"/>
      <c r="E169" s="1" t="n"/>
      <c r="F169" s="1" t="n"/>
      <c r="G169" s="12" t="n"/>
      <c r="H169" s="3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83.25" customHeight="1">
      <c r="A170" s="1" t="n"/>
      <c r="C170" s="2" t="n"/>
      <c r="E170" s="1" t="n"/>
      <c r="F170" s="1" t="n"/>
      <c r="G170" s="12" t="n"/>
      <c r="H170" s="3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83.25" customHeight="1">
      <c r="A171" s="1" t="n"/>
      <c r="C171" s="2" t="n"/>
      <c r="E171" s="1" t="n"/>
      <c r="F171" s="1" t="n"/>
      <c r="G171" s="12" t="n"/>
      <c r="H171" s="3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83.25" customHeight="1">
      <c r="A172" s="1" t="n"/>
      <c r="C172" s="2" t="n"/>
      <c r="E172" s="1" t="n"/>
      <c r="F172" s="1" t="n"/>
      <c r="G172" s="12" t="n"/>
      <c r="H172" s="3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83.25" customHeight="1">
      <c r="A173" s="1" t="n"/>
      <c r="C173" s="2" t="n"/>
      <c r="E173" s="1" t="n"/>
      <c r="F173" s="1" t="n"/>
      <c r="G173" s="12" t="n"/>
      <c r="H173" s="3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83.25" customHeight="1">
      <c r="A174" s="1" t="n"/>
      <c r="C174" s="2" t="n"/>
      <c r="E174" s="1" t="n"/>
      <c r="F174" s="1" t="n"/>
      <c r="G174" s="12" t="n"/>
      <c r="H174" s="3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83.25" customHeight="1">
      <c r="A175" s="1" t="n"/>
      <c r="C175" s="2" t="n"/>
      <c r="E175" s="1" t="n"/>
      <c r="F175" s="1" t="n"/>
      <c r="G175" s="12" t="n"/>
      <c r="H175" s="3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83.25" customHeight="1">
      <c r="A176" s="1" t="n"/>
      <c r="C176" s="2" t="n"/>
      <c r="E176" s="1" t="n"/>
      <c r="F176" s="1" t="n"/>
      <c r="G176" s="12" t="n"/>
      <c r="H176" s="3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83.25" customHeight="1">
      <c r="A177" s="1" t="n"/>
      <c r="C177" s="2" t="n"/>
      <c r="E177" s="1" t="n"/>
      <c r="F177" s="1" t="n"/>
      <c r="G177" s="12" t="n"/>
      <c r="H177" s="3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83.25" customHeight="1">
      <c r="A178" s="1" t="n"/>
      <c r="C178" s="2" t="n"/>
      <c r="E178" s="1" t="n"/>
      <c r="F178" s="1" t="n"/>
      <c r="G178" s="12" t="n"/>
      <c r="H178" s="3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83.25" customHeight="1">
      <c r="A179" s="1" t="n"/>
      <c r="C179" s="2" t="n"/>
      <c r="E179" s="1" t="n"/>
      <c r="F179" s="1" t="n"/>
      <c r="G179" s="12" t="n"/>
      <c r="H179" s="3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83.25" customHeight="1">
      <c r="A180" s="1" t="n"/>
      <c r="C180" s="2" t="n"/>
      <c r="E180" s="1" t="n"/>
      <c r="F180" s="1" t="n"/>
      <c r="G180" s="12" t="n"/>
      <c r="H180" s="3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83.25" customHeight="1">
      <c r="A181" s="1" t="n"/>
      <c r="C181" s="2" t="n"/>
      <c r="E181" s="1" t="n"/>
      <c r="F181" s="1" t="n"/>
      <c r="G181" s="12" t="n"/>
      <c r="H181" s="3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83.25" customHeight="1">
      <c r="A182" s="1" t="n"/>
      <c r="C182" s="2" t="n"/>
      <c r="E182" s="1" t="n"/>
      <c r="F182" s="1" t="n"/>
      <c r="G182" s="12" t="n"/>
      <c r="H182" s="3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83.25" customHeight="1">
      <c r="A183" s="1" t="n"/>
      <c r="C183" s="2" t="n"/>
      <c r="E183" s="1" t="n"/>
      <c r="F183" s="1" t="n"/>
      <c r="G183" s="12" t="n"/>
      <c r="H183" s="3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83.25" customHeight="1">
      <c r="A184" s="1" t="n"/>
      <c r="C184" s="2" t="n"/>
      <c r="E184" s="1" t="n"/>
      <c r="F184" s="1" t="n"/>
      <c r="G184" s="12" t="n"/>
      <c r="H184" s="3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83.25" customHeight="1">
      <c r="A185" s="1" t="n"/>
      <c r="C185" s="2" t="n"/>
      <c r="E185" s="1" t="n"/>
      <c r="F185" s="1" t="n"/>
      <c r="G185" s="12" t="n"/>
      <c r="H185" s="3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83.25" customHeight="1">
      <c r="A186" s="1" t="n"/>
      <c r="C186" s="2" t="n"/>
      <c r="E186" s="1" t="n"/>
      <c r="F186" s="1" t="n"/>
      <c r="G186" s="12" t="n"/>
      <c r="H186" s="3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83.25" customHeight="1">
      <c r="A187" s="1" t="n"/>
      <c r="C187" s="2" t="n"/>
      <c r="E187" s="1" t="n"/>
      <c r="F187" s="1" t="n"/>
      <c r="G187" s="12" t="n"/>
      <c r="H187" s="3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83.25" customHeight="1">
      <c r="A188" s="1" t="n"/>
      <c r="C188" s="2" t="n"/>
      <c r="E188" s="1" t="n"/>
      <c r="F188" s="1" t="n"/>
      <c r="G188" s="12" t="n"/>
      <c r="H188" s="3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83.25" customHeight="1">
      <c r="A189" s="1" t="n"/>
      <c r="C189" s="2" t="n"/>
      <c r="E189" s="1" t="n"/>
      <c r="F189" s="1" t="n"/>
      <c r="G189" s="12" t="n"/>
      <c r="H189" s="3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83.25" customHeight="1">
      <c r="A190" s="1" t="n"/>
      <c r="C190" s="2" t="n"/>
      <c r="E190" s="1" t="n"/>
      <c r="F190" s="1" t="n"/>
      <c r="G190" s="12" t="n"/>
      <c r="H190" s="3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83.25" customHeight="1">
      <c r="A191" s="1" t="n"/>
      <c r="C191" s="2" t="n"/>
      <c r="E191" s="1" t="n"/>
      <c r="F191" s="1" t="n"/>
      <c r="G191" s="12" t="n"/>
      <c r="H191" s="3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83.25" customHeight="1">
      <c r="A192" s="1" t="n"/>
      <c r="C192" s="2" t="n"/>
      <c r="E192" s="1" t="n"/>
      <c r="F192" s="1" t="n"/>
      <c r="G192" s="12" t="n"/>
      <c r="H192" s="3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83.25" customHeight="1">
      <c r="A193" s="1" t="n"/>
      <c r="C193" s="2" t="n"/>
      <c r="E193" s="1" t="n"/>
      <c r="F193" s="1" t="n"/>
      <c r="G193" s="12" t="n"/>
      <c r="H193" s="3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83.25" customHeight="1">
      <c r="A194" s="1" t="n"/>
      <c r="C194" s="2" t="n"/>
      <c r="E194" s="1" t="n"/>
      <c r="F194" s="1" t="n"/>
      <c r="G194" s="12" t="n"/>
      <c r="H194" s="3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83.25" customHeight="1">
      <c r="A195" s="1" t="n"/>
      <c r="C195" s="2" t="n"/>
      <c r="E195" s="1" t="n"/>
      <c r="F195" s="1" t="n"/>
      <c r="G195" s="12" t="n"/>
      <c r="H195" s="3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83.25" customHeight="1">
      <c r="A196" s="1" t="n"/>
      <c r="C196" s="2" t="n"/>
      <c r="E196" s="1" t="n"/>
      <c r="F196" s="1" t="n"/>
      <c r="G196" s="12" t="n"/>
      <c r="H196" s="3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83.25" customHeight="1">
      <c r="A197" s="1" t="n"/>
      <c r="C197" s="2" t="n"/>
      <c r="E197" s="1" t="n"/>
      <c r="F197" s="1" t="n"/>
      <c r="G197" s="12" t="n"/>
      <c r="H197" s="3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83.25" customHeight="1">
      <c r="A198" s="1" t="n"/>
      <c r="C198" s="2" t="n"/>
      <c r="E198" s="1" t="n"/>
      <c r="F198" s="1" t="n"/>
      <c r="G198" s="12" t="n"/>
      <c r="H198" s="3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83.25" customHeight="1">
      <c r="A199" s="1" t="n"/>
      <c r="C199" s="2" t="n"/>
      <c r="E199" s="1" t="n"/>
      <c r="F199" s="1" t="n"/>
      <c r="G199" s="12" t="n"/>
      <c r="H199" s="3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83.25" customHeight="1">
      <c r="A200" s="1" t="n"/>
      <c r="C200" s="2" t="n"/>
      <c r="E200" s="1" t="n"/>
      <c r="F200" s="1" t="n"/>
      <c r="G200" s="12" t="n"/>
      <c r="H200" s="3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83.25" customHeight="1">
      <c r="A201" s="1" t="n"/>
      <c r="C201" s="2" t="n"/>
      <c r="E201" s="1" t="n"/>
      <c r="F201" s="1" t="n"/>
      <c r="G201" s="12" t="n"/>
      <c r="H201" s="3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83.25" customHeight="1">
      <c r="A202" s="1" t="n"/>
      <c r="C202" s="2" t="n"/>
      <c r="E202" s="1" t="n"/>
      <c r="F202" s="1" t="n"/>
      <c r="G202" s="12" t="n"/>
      <c r="H202" s="3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83.25" customHeight="1">
      <c r="A203" s="1" t="n"/>
      <c r="C203" s="2" t="n"/>
      <c r="E203" s="1" t="n"/>
      <c r="F203" s="1" t="n"/>
      <c r="G203" s="12" t="n"/>
      <c r="H203" s="3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83.25" customHeight="1">
      <c r="A204" s="1" t="n"/>
      <c r="C204" s="2" t="n"/>
      <c r="E204" s="1" t="n"/>
      <c r="F204" s="1" t="n"/>
      <c r="G204" s="12" t="n"/>
      <c r="H204" s="3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83.25" customHeight="1">
      <c r="A205" s="1" t="n"/>
      <c r="C205" s="2" t="n"/>
      <c r="E205" s="1" t="n"/>
      <c r="F205" s="1" t="n"/>
      <c r="G205" s="12" t="n"/>
      <c r="H205" s="3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83.25" customHeight="1">
      <c r="A206" s="1" t="n"/>
      <c r="C206" s="2" t="n"/>
      <c r="E206" s="1" t="n"/>
      <c r="F206" s="1" t="n"/>
      <c r="G206" s="12" t="n"/>
      <c r="H206" s="3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83.25" customHeight="1">
      <c r="A207" s="1" t="n"/>
      <c r="C207" s="2" t="n"/>
      <c r="E207" s="1" t="n"/>
      <c r="F207" s="1" t="n"/>
      <c r="G207" s="12" t="n"/>
      <c r="H207" s="3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83.25" customHeight="1">
      <c r="A208" s="1" t="n"/>
      <c r="C208" s="2" t="n"/>
      <c r="E208" s="1" t="n"/>
      <c r="F208" s="1" t="n"/>
      <c r="G208" s="12" t="n"/>
      <c r="H208" s="3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83.25" customHeight="1">
      <c r="A209" s="1" t="n"/>
      <c r="C209" s="2" t="n"/>
      <c r="E209" s="1" t="n"/>
      <c r="F209" s="1" t="n"/>
      <c r="G209" s="12" t="n"/>
      <c r="H209" s="3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83.25" customHeight="1">
      <c r="A210" s="1" t="n"/>
      <c r="C210" s="2" t="n"/>
      <c r="E210" s="1" t="n"/>
      <c r="F210" s="1" t="n"/>
      <c r="G210" s="12" t="n"/>
      <c r="H210" s="3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83.25" customHeight="1">
      <c r="A211" s="1" t="n"/>
      <c r="C211" s="2" t="n"/>
      <c r="E211" s="1" t="n"/>
      <c r="F211" s="1" t="n"/>
      <c r="G211" s="12" t="n"/>
      <c r="H211" s="3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83.25" customHeight="1">
      <c r="A212" s="1" t="n"/>
      <c r="C212" s="2" t="n"/>
      <c r="E212" s="1" t="n"/>
      <c r="F212" s="1" t="n"/>
      <c r="G212" s="12" t="n"/>
      <c r="H212" s="3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83.25" customHeight="1">
      <c r="A213" s="1" t="n"/>
      <c r="C213" s="2" t="n"/>
      <c r="E213" s="1" t="n"/>
      <c r="F213" s="1" t="n"/>
      <c r="G213" s="12" t="n"/>
      <c r="H213" s="3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83.25" customHeight="1">
      <c r="A214" s="1" t="n"/>
      <c r="C214" s="2" t="n"/>
      <c r="E214" s="1" t="n"/>
      <c r="F214" s="1" t="n"/>
      <c r="G214" s="12" t="n"/>
      <c r="H214" s="3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83.25" customHeight="1">
      <c r="A215" s="1" t="n"/>
      <c r="C215" s="2" t="n"/>
      <c r="E215" s="1" t="n"/>
      <c r="F215" s="1" t="n"/>
      <c r="G215" s="12" t="n"/>
      <c r="H215" s="3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83.25" customHeight="1">
      <c r="A216" s="1" t="n"/>
      <c r="C216" s="2" t="n"/>
      <c r="E216" s="1" t="n"/>
      <c r="F216" s="1" t="n"/>
      <c r="G216" s="12" t="n"/>
      <c r="H216" s="3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83.25" customHeight="1">
      <c r="A217" s="1" t="n"/>
      <c r="C217" s="2" t="n"/>
      <c r="E217" s="1" t="n"/>
      <c r="F217" s="1" t="n"/>
      <c r="G217" s="12" t="n"/>
      <c r="H217" s="3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83.25" customHeight="1">
      <c r="A218" s="1" t="n"/>
      <c r="C218" s="2" t="n"/>
      <c r="E218" s="1" t="n"/>
      <c r="F218" s="1" t="n"/>
      <c r="G218" s="12" t="n"/>
      <c r="H218" s="3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83.25" customHeight="1">
      <c r="A219" s="1" t="n"/>
      <c r="C219" s="2" t="n"/>
      <c r="E219" s="1" t="n"/>
      <c r="F219" s="1" t="n"/>
      <c r="G219" s="12" t="n"/>
      <c r="H219" s="3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83.25" customHeight="1">
      <c r="A220" s="1" t="n"/>
      <c r="C220" s="2" t="n"/>
      <c r="E220" s="1" t="n"/>
      <c r="F220" s="1" t="n"/>
      <c r="G220" s="12" t="n"/>
      <c r="H220" s="3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83.25" customHeight="1">
      <c r="A221" s="1" t="n"/>
      <c r="C221" s="2" t="n"/>
      <c r="E221" s="1" t="n"/>
      <c r="F221" s="1" t="n"/>
      <c r="G221" s="12" t="n"/>
      <c r="H221" s="3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>
      <c r="A222" s="1" t="n"/>
      <c r="C222" s="2" t="n"/>
      <c r="E222" s="1" t="n"/>
      <c r="F222" s="1" t="n"/>
      <c r="G222" s="12" t="n"/>
      <c r="H222" s="3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>
      <c r="A223" s="1" t="n"/>
      <c r="C223" s="2" t="n"/>
      <c r="E223" s="1" t="n"/>
      <c r="F223" s="1" t="n"/>
      <c r="G223" s="12" t="n"/>
      <c r="H223" s="3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>
      <c r="A224" s="1" t="n"/>
      <c r="C224" s="2" t="n"/>
      <c r="E224" s="1" t="n"/>
      <c r="F224" s="1" t="n"/>
      <c r="G224" s="12" t="n"/>
      <c r="H224" s="3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>
      <c r="A225" s="1" t="n"/>
      <c r="C225" s="2" t="n"/>
      <c r="E225" s="1" t="n"/>
      <c r="F225" s="1" t="n"/>
      <c r="G225" s="12" t="n"/>
      <c r="H225" s="3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>
      <c r="A226" s="1" t="n"/>
      <c r="C226" s="2" t="n"/>
      <c r="E226" s="1" t="n"/>
      <c r="F226" s="1" t="n"/>
      <c r="G226" s="12" t="n"/>
      <c r="H226" s="3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>
      <c r="A227" s="1" t="n"/>
      <c r="C227" s="2" t="n"/>
      <c r="E227" s="1" t="n"/>
      <c r="F227" s="1" t="n"/>
      <c r="G227" s="12" t="n"/>
      <c r="H227" s="3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>
      <c r="A228" s="1" t="n"/>
      <c r="C228" s="2" t="n"/>
      <c r="E228" s="1" t="n"/>
      <c r="F228" s="1" t="n"/>
      <c r="G228" s="12" t="n"/>
      <c r="H228" s="3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>
      <c r="A229" s="1" t="n"/>
      <c r="C229" s="2" t="n"/>
      <c r="E229" s="1" t="n"/>
      <c r="F229" s="1" t="n"/>
      <c r="G229" s="12" t="n"/>
      <c r="H229" s="3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>
      <c r="A230" s="1" t="n"/>
      <c r="C230" s="2" t="n"/>
      <c r="E230" s="1" t="n"/>
      <c r="F230" s="1" t="n"/>
      <c r="G230" s="12" t="n"/>
      <c r="H230" s="3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>
      <c r="A231" s="1" t="n"/>
      <c r="C231" s="2" t="n"/>
      <c r="E231" s="1" t="n"/>
      <c r="F231" s="1" t="n"/>
      <c r="G231" s="12" t="n"/>
      <c r="H231" s="3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>
      <c r="A232" s="1" t="n"/>
      <c r="C232" s="2" t="n"/>
      <c r="E232" s="1" t="n"/>
      <c r="F232" s="1" t="n"/>
      <c r="G232" s="12" t="n"/>
      <c r="H232" s="3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>
      <c r="A233" s="1" t="n"/>
      <c r="C233" s="2" t="n"/>
      <c r="E233" s="1" t="n"/>
      <c r="F233" s="1" t="n"/>
      <c r="G233" s="12" t="n"/>
      <c r="H233" s="3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>
      <c r="A234" s="1" t="n"/>
      <c r="C234" s="2" t="n"/>
      <c r="E234" s="1" t="n"/>
      <c r="F234" s="1" t="n"/>
      <c r="G234" s="12" t="n"/>
      <c r="H234" s="3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>
      <c r="A235" s="1" t="n"/>
      <c r="C235" s="2" t="n"/>
      <c r="E235" s="1" t="n"/>
      <c r="F235" s="1" t="n"/>
      <c r="G235" s="12" t="n"/>
      <c r="H235" s="3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>
      <c r="A236" s="1" t="n"/>
      <c r="C236" s="2" t="n"/>
      <c r="E236" s="1" t="n"/>
      <c r="F236" s="1" t="n"/>
      <c r="G236" s="12" t="n"/>
      <c r="H236" s="3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>
      <c r="A237" s="1" t="n"/>
      <c r="C237" s="2" t="n"/>
      <c r="E237" s="1" t="n"/>
      <c r="F237" s="1" t="n"/>
      <c r="G237" s="12" t="n"/>
      <c r="H237" s="3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>
      <c r="A238" s="1" t="n"/>
      <c r="C238" s="2" t="n"/>
      <c r="E238" s="1" t="n"/>
      <c r="F238" s="1" t="n"/>
      <c r="G238" s="12" t="n"/>
      <c r="H238" s="3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>
      <c r="A239" s="1" t="n"/>
      <c r="C239" s="2" t="n"/>
      <c r="E239" s="1" t="n"/>
      <c r="F239" s="1" t="n"/>
      <c r="G239" s="12" t="n"/>
      <c r="H239" s="3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>
      <c r="A240" s="1" t="n"/>
      <c r="C240" s="2" t="n"/>
      <c r="E240" s="1" t="n"/>
      <c r="F240" s="1" t="n"/>
      <c r="G240" s="12" t="n"/>
      <c r="H240" s="3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>
      <c r="A241" s="1" t="n"/>
      <c r="C241" s="2" t="n"/>
      <c r="E241" s="1" t="n"/>
      <c r="F241" s="1" t="n"/>
      <c r="G241" s="12" t="n"/>
      <c r="H241" s="3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>
      <c r="A242" s="1" t="n"/>
      <c r="C242" s="2" t="n"/>
      <c r="E242" s="1" t="n"/>
      <c r="F242" s="1" t="n"/>
      <c r="G242" s="12" t="n"/>
      <c r="H242" s="3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>
      <c r="A243" s="1" t="n"/>
      <c r="C243" s="2" t="n"/>
      <c r="E243" s="1" t="n"/>
      <c r="F243" s="1" t="n"/>
      <c r="G243" s="12" t="n"/>
      <c r="H243" s="3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>
      <c r="A244" s="1" t="n"/>
      <c r="C244" s="2" t="n"/>
      <c r="E244" s="1" t="n"/>
      <c r="F244" s="1" t="n"/>
      <c r="G244" s="12" t="n"/>
      <c r="H244" s="3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>
      <c r="A245" s="1" t="n"/>
      <c r="C245" s="2" t="n"/>
      <c r="E245" s="1" t="n"/>
      <c r="F245" s="1" t="n"/>
      <c r="G245" s="12" t="n"/>
      <c r="H245" s="3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>
      <c r="A246" s="1" t="n"/>
      <c r="C246" s="2" t="n"/>
      <c r="E246" s="1" t="n"/>
      <c r="F246" s="1" t="n"/>
      <c r="G246" s="12" t="n"/>
      <c r="H246" s="3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>
      <c r="A247" s="1" t="n"/>
      <c r="C247" s="2" t="n"/>
      <c r="E247" s="1" t="n"/>
      <c r="F247" s="1" t="n"/>
      <c r="G247" s="12" t="n"/>
      <c r="H247" s="3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>
      <c r="A248" s="1" t="n"/>
      <c r="C248" s="2" t="n"/>
      <c r="E248" s="1" t="n"/>
      <c r="F248" s="1" t="n"/>
      <c r="G248" s="12" t="n"/>
      <c r="H248" s="3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>
      <c r="A249" s="1" t="n"/>
      <c r="C249" s="2" t="n"/>
      <c r="E249" s="1" t="n"/>
      <c r="F249" s="1" t="n"/>
      <c r="G249" s="12" t="n"/>
      <c r="H249" s="3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>
      <c r="A250" s="1" t="n"/>
      <c r="C250" s="2" t="n"/>
      <c r="E250" s="1" t="n"/>
      <c r="F250" s="1" t="n"/>
      <c r="G250" s="12" t="n"/>
      <c r="H250" s="3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>
      <c r="A251" s="1" t="n"/>
      <c r="C251" s="2" t="n"/>
      <c r="E251" s="1" t="n"/>
      <c r="F251" s="1" t="n"/>
      <c r="G251" s="12" t="n"/>
      <c r="H251" s="3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>
      <c r="A252" s="1" t="n"/>
      <c r="C252" s="2" t="n"/>
      <c r="E252" s="1" t="n"/>
      <c r="F252" s="1" t="n"/>
      <c r="G252" s="12" t="n"/>
      <c r="H252" s="3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>
      <c r="A253" s="1" t="n"/>
      <c r="C253" s="2" t="n"/>
      <c r="E253" s="1" t="n"/>
      <c r="F253" s="1" t="n"/>
      <c r="G253" s="12" t="n"/>
      <c r="H253" s="3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>
      <c r="A254" s="1" t="n"/>
      <c r="C254" s="2" t="n"/>
      <c r="E254" s="1" t="n"/>
      <c r="F254" s="1" t="n"/>
      <c r="G254" s="12" t="n"/>
      <c r="H254" s="3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>
      <c r="A255" s="1" t="n"/>
      <c r="C255" s="2" t="n"/>
      <c r="E255" s="1" t="n"/>
      <c r="F255" s="1" t="n"/>
      <c r="G255" s="12" t="n"/>
      <c r="H255" s="3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>
      <c r="A256" s="1" t="n"/>
      <c r="C256" s="2" t="n"/>
      <c r="E256" s="1" t="n"/>
      <c r="F256" s="1" t="n"/>
      <c r="G256" s="12" t="n"/>
      <c r="H256" s="3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>
      <c r="A257" s="1" t="n"/>
      <c r="C257" s="2" t="n"/>
      <c r="E257" s="1" t="n"/>
      <c r="F257" s="1" t="n"/>
      <c r="G257" s="12" t="n"/>
      <c r="H257" s="3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>
      <c r="A258" s="1" t="n"/>
      <c r="C258" s="2" t="n"/>
      <c r="E258" s="1" t="n"/>
      <c r="F258" s="1" t="n"/>
      <c r="G258" s="12" t="n"/>
      <c r="H258" s="3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>
      <c r="A259" s="1" t="n"/>
      <c r="C259" s="2" t="n"/>
      <c r="E259" s="1" t="n"/>
      <c r="F259" s="1" t="n"/>
      <c r="G259" s="12" t="n"/>
      <c r="H259" s="3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>
      <c r="A260" s="1" t="n"/>
      <c r="C260" s="2" t="n"/>
      <c r="E260" s="1" t="n"/>
      <c r="F260" s="1" t="n"/>
      <c r="G260" s="12" t="n"/>
      <c r="H260" s="3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>
      <c r="A261" s="1" t="n"/>
      <c r="C261" s="2" t="n"/>
      <c r="E261" s="1" t="n"/>
      <c r="F261" s="1" t="n"/>
      <c r="G261" s="12" t="n"/>
      <c r="H261" s="3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>
      <c r="A262" s="1" t="n"/>
      <c r="C262" s="2" t="n"/>
      <c r="E262" s="1" t="n"/>
      <c r="F262" s="1" t="n"/>
      <c r="G262" s="12" t="n"/>
      <c r="H262" s="3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>
      <c r="A263" s="1" t="n"/>
      <c r="C263" s="2" t="n"/>
      <c r="E263" s="1" t="n"/>
      <c r="F263" s="1" t="n"/>
      <c r="G263" s="12" t="n"/>
      <c r="H263" s="3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>
      <c r="A264" s="1" t="n"/>
      <c r="C264" s="2" t="n"/>
      <c r="E264" s="1" t="n"/>
      <c r="F264" s="1" t="n"/>
      <c r="G264" s="12" t="n"/>
      <c r="H264" s="3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>
      <c r="A265" s="1" t="n"/>
      <c r="C265" s="2" t="n"/>
      <c r="E265" s="1" t="n"/>
      <c r="F265" s="1" t="n"/>
      <c r="G265" s="12" t="n"/>
      <c r="H265" s="3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>
      <c r="A266" s="1" t="n"/>
      <c r="C266" s="2" t="n"/>
      <c r="E266" s="1" t="n"/>
      <c r="F266" s="1" t="n"/>
      <c r="G266" s="12" t="n"/>
      <c r="H266" s="3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>
      <c r="A267" s="1" t="n"/>
      <c r="C267" s="2" t="n"/>
      <c r="E267" s="1" t="n"/>
      <c r="F267" s="1" t="n"/>
      <c r="G267" s="12" t="n"/>
      <c r="H267" s="3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>
      <c r="A268" s="1" t="n"/>
      <c r="C268" s="2" t="n"/>
      <c r="E268" s="1" t="n"/>
      <c r="F268" s="1" t="n"/>
      <c r="G268" s="12" t="n"/>
      <c r="H268" s="3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>
      <c r="A269" s="1" t="n"/>
      <c r="C269" s="2" t="n"/>
      <c r="E269" s="1" t="n"/>
      <c r="F269" s="1" t="n"/>
      <c r="G269" s="12" t="n"/>
      <c r="H269" s="3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>
      <c r="A270" s="1" t="n"/>
      <c r="C270" s="2" t="n"/>
      <c r="E270" s="1" t="n"/>
      <c r="F270" s="1" t="n"/>
      <c r="G270" s="12" t="n"/>
      <c r="H270" s="3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>
      <c r="A271" s="1" t="n"/>
      <c r="C271" s="2" t="n"/>
      <c r="E271" s="1" t="n"/>
      <c r="F271" s="1" t="n"/>
      <c r="G271" s="12" t="n"/>
      <c r="H271" s="3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>
      <c r="A272" s="1" t="n"/>
      <c r="C272" s="2" t="n"/>
      <c r="E272" s="1" t="n"/>
      <c r="F272" s="1" t="n"/>
      <c r="G272" s="12" t="n"/>
      <c r="H272" s="3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>
      <c r="A273" s="1" t="n"/>
      <c r="C273" s="2" t="n"/>
      <c r="E273" s="1" t="n"/>
      <c r="F273" s="1" t="n"/>
      <c r="G273" s="12" t="n"/>
      <c r="H273" s="3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>
      <c r="A274" s="1" t="n"/>
      <c r="C274" s="2" t="n"/>
      <c r="E274" s="1" t="n"/>
      <c r="F274" s="1" t="n"/>
      <c r="G274" s="12" t="n"/>
      <c r="H274" s="3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>
      <c r="A275" s="1" t="n"/>
      <c r="C275" s="2" t="n"/>
      <c r="E275" s="1" t="n"/>
      <c r="F275" s="1" t="n"/>
      <c r="G275" s="12" t="n"/>
      <c r="H275" s="3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>
      <c r="A276" s="1" t="n"/>
      <c r="C276" s="2" t="n"/>
      <c r="E276" s="1" t="n"/>
      <c r="F276" s="1" t="n"/>
      <c r="G276" s="12" t="n"/>
      <c r="H276" s="3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>
      <c r="A277" s="1" t="n"/>
      <c r="C277" s="2" t="n"/>
      <c r="E277" s="1" t="n"/>
      <c r="F277" s="1" t="n"/>
      <c r="G277" s="12" t="n"/>
      <c r="H277" s="3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>
      <c r="A278" s="1" t="n"/>
      <c r="C278" s="2" t="n"/>
      <c r="E278" s="1" t="n"/>
      <c r="F278" s="1" t="n"/>
      <c r="G278" s="12" t="n"/>
      <c r="H278" s="3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>
      <c r="A279" s="1" t="n"/>
      <c r="C279" s="2" t="n"/>
      <c r="E279" s="1" t="n"/>
      <c r="F279" s="1" t="n"/>
      <c r="G279" s="12" t="n"/>
      <c r="H279" s="3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>
      <c r="A280" s="1" t="n"/>
      <c r="C280" s="2" t="n"/>
      <c r="E280" s="1" t="n"/>
      <c r="F280" s="1" t="n"/>
      <c r="G280" s="12" t="n"/>
      <c r="H280" s="3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>
      <c r="A281" s="1" t="n"/>
      <c r="C281" s="2" t="n"/>
      <c r="E281" s="1" t="n"/>
      <c r="F281" s="1" t="n"/>
      <c r="G281" s="12" t="n"/>
      <c r="H281" s="3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>
      <c r="A282" s="1" t="n"/>
      <c r="C282" s="2" t="n"/>
      <c r="E282" s="1" t="n"/>
      <c r="F282" s="1" t="n"/>
      <c r="G282" s="12" t="n"/>
      <c r="H282" s="3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>
      <c r="A283" s="1" t="n"/>
      <c r="C283" s="2" t="n"/>
      <c r="E283" s="1" t="n"/>
      <c r="F283" s="1" t="n"/>
      <c r="G283" s="12" t="n"/>
      <c r="H283" s="3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>
      <c r="A284" s="1" t="n"/>
      <c r="C284" s="2" t="n"/>
      <c r="E284" s="1" t="n"/>
      <c r="F284" s="1" t="n"/>
      <c r="G284" s="12" t="n"/>
      <c r="H284" s="3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>
      <c r="A285" s="1" t="n"/>
      <c r="C285" s="2" t="n"/>
      <c r="E285" s="1" t="n"/>
      <c r="F285" s="1" t="n"/>
      <c r="G285" s="12" t="n"/>
      <c r="H285" s="3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>
      <c r="A286" s="1" t="n"/>
      <c r="C286" s="2" t="n"/>
      <c r="E286" s="1" t="n"/>
      <c r="F286" s="1" t="n"/>
      <c r="G286" s="12" t="n"/>
      <c r="H286" s="3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>
      <c r="A287" s="1" t="n"/>
      <c r="C287" s="2" t="n"/>
      <c r="E287" s="1" t="n"/>
      <c r="F287" s="1" t="n"/>
      <c r="G287" s="12" t="n"/>
      <c r="H287" s="3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>
      <c r="A288" s="1" t="n"/>
      <c r="C288" s="2" t="n"/>
      <c r="E288" s="1" t="n"/>
      <c r="F288" s="1" t="n"/>
      <c r="G288" s="12" t="n"/>
      <c r="H288" s="3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>
      <c r="A289" s="1" t="n"/>
      <c r="C289" s="2" t="n"/>
      <c r="E289" s="1" t="n"/>
      <c r="F289" s="1" t="n"/>
      <c r="G289" s="12" t="n"/>
      <c r="H289" s="3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>
      <c r="A290" s="1" t="n"/>
      <c r="C290" s="2" t="n"/>
      <c r="E290" s="1" t="n"/>
      <c r="F290" s="1" t="n"/>
      <c r="G290" s="12" t="n"/>
      <c r="H290" s="3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>
      <c r="A291" s="1" t="n"/>
      <c r="C291" s="2" t="n"/>
      <c r="E291" s="1" t="n"/>
      <c r="F291" s="1" t="n"/>
      <c r="G291" s="12" t="n"/>
      <c r="H291" s="3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>
      <c r="A292" s="1" t="n"/>
      <c r="C292" s="2" t="n"/>
      <c r="E292" s="1" t="n"/>
      <c r="F292" s="1" t="n"/>
      <c r="G292" s="12" t="n"/>
      <c r="H292" s="3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>
      <c r="A293" s="1" t="n"/>
      <c r="C293" s="2" t="n"/>
      <c r="E293" s="1" t="n"/>
      <c r="F293" s="1" t="n"/>
      <c r="G293" s="12" t="n"/>
      <c r="H293" s="3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>
      <c r="A294" s="1" t="n"/>
      <c r="C294" s="2" t="n"/>
      <c r="E294" s="1" t="n"/>
      <c r="F294" s="1" t="n"/>
      <c r="G294" s="12" t="n"/>
      <c r="H294" s="3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>
      <c r="A295" s="1" t="n"/>
      <c r="C295" s="2" t="n"/>
      <c r="E295" s="1" t="n"/>
      <c r="F295" s="1" t="n"/>
      <c r="G295" s="12" t="n"/>
      <c r="H295" s="3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>
      <c r="A296" s="1" t="n"/>
      <c r="C296" s="2" t="n"/>
      <c r="E296" s="1" t="n"/>
      <c r="F296" s="1" t="n"/>
      <c r="G296" s="12" t="n"/>
      <c r="H296" s="3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>
      <c r="A297" s="1" t="n"/>
      <c r="C297" s="2" t="n"/>
      <c r="E297" s="1" t="n"/>
      <c r="F297" s="1" t="n"/>
      <c r="G297" s="12" t="n"/>
      <c r="H297" s="3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>
      <c r="A298" s="1" t="n"/>
      <c r="C298" s="2" t="n"/>
      <c r="E298" s="1" t="n"/>
      <c r="F298" s="1" t="n"/>
      <c r="G298" s="12" t="n"/>
      <c r="H298" s="3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>
      <c r="A299" s="1" t="n"/>
      <c r="C299" s="2" t="n"/>
      <c r="E299" s="1" t="n"/>
      <c r="F299" s="1" t="n"/>
      <c r="G299" s="12" t="n"/>
      <c r="H299" s="3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>
      <c r="A300" s="1" t="n"/>
      <c r="C300" s="2" t="n"/>
      <c r="E300" s="1" t="n"/>
      <c r="F300" s="1" t="n"/>
      <c r="G300" s="12" t="n"/>
      <c r="H300" s="3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>
      <c r="A301" s="1" t="n"/>
      <c r="C301" s="2" t="n"/>
      <c r="E301" s="1" t="n"/>
      <c r="F301" s="1" t="n"/>
      <c r="G301" s="12" t="n"/>
      <c r="H301" s="3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>
      <c r="A302" s="1" t="n"/>
      <c r="C302" s="2" t="n"/>
      <c r="E302" s="1" t="n"/>
      <c r="F302" s="1" t="n"/>
      <c r="G302" s="12" t="n"/>
      <c r="H302" s="3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>
      <c r="A303" s="1" t="n"/>
      <c r="C303" s="2" t="n"/>
      <c r="E303" s="1" t="n"/>
      <c r="F303" s="1" t="n"/>
      <c r="G303" s="12" t="n"/>
      <c r="H303" s="3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>
      <c r="A304" s="1" t="n"/>
      <c r="C304" s="2" t="n"/>
      <c r="E304" s="1" t="n"/>
      <c r="F304" s="1" t="n"/>
      <c r="G304" s="12" t="n"/>
      <c r="H304" s="3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>
      <c r="A305" s="1" t="n"/>
      <c r="C305" s="2" t="n"/>
      <c r="E305" s="1" t="n"/>
      <c r="F305" s="1" t="n"/>
      <c r="G305" s="12" t="n"/>
      <c r="H305" s="3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>
      <c r="A306" s="1" t="n"/>
      <c r="C306" s="2" t="n"/>
      <c r="E306" s="1" t="n"/>
      <c r="F306" s="1" t="n"/>
      <c r="G306" s="12" t="n"/>
      <c r="H306" s="3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>
      <c r="A307" s="1" t="n"/>
      <c r="C307" s="2" t="n"/>
      <c r="E307" s="1" t="n"/>
      <c r="F307" s="1" t="n"/>
      <c r="G307" s="12" t="n"/>
      <c r="H307" s="3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>
      <c r="A308" s="1" t="n"/>
      <c r="C308" s="2" t="n"/>
      <c r="E308" s="1" t="n"/>
      <c r="F308" s="1" t="n"/>
      <c r="G308" s="12" t="n"/>
      <c r="H308" s="3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>
      <c r="A309" s="1" t="n"/>
      <c r="C309" s="2" t="n"/>
      <c r="E309" s="1" t="n"/>
      <c r="F309" s="1" t="n"/>
      <c r="G309" s="12" t="n"/>
      <c r="H309" s="3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>
      <c r="A310" s="1" t="n"/>
      <c r="C310" s="2" t="n"/>
      <c r="E310" s="1" t="n"/>
      <c r="F310" s="1" t="n"/>
      <c r="G310" s="12" t="n"/>
      <c r="H310" s="3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>
      <c r="A311" s="1" t="n"/>
      <c r="C311" s="2" t="n"/>
      <c r="E311" s="1" t="n"/>
      <c r="F311" s="1" t="n"/>
      <c r="G311" s="12" t="n"/>
      <c r="H311" s="3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>
      <c r="A312" s="1" t="n"/>
      <c r="C312" s="2" t="n"/>
      <c r="E312" s="1" t="n"/>
      <c r="F312" s="1" t="n"/>
      <c r="G312" s="12" t="n"/>
      <c r="H312" s="3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>
      <c r="A313" s="1" t="n"/>
      <c r="C313" s="2" t="n"/>
      <c r="E313" s="1" t="n"/>
      <c r="F313" s="1" t="n"/>
      <c r="G313" s="12" t="n"/>
      <c r="H313" s="3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>
      <c r="A314" s="1" t="n"/>
      <c r="C314" s="2" t="n"/>
      <c r="E314" s="1" t="n"/>
      <c r="F314" s="1" t="n"/>
      <c r="G314" s="12" t="n"/>
      <c r="H314" s="3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>
      <c r="A315" s="1" t="n"/>
      <c r="C315" s="2" t="n"/>
      <c r="E315" s="1" t="n"/>
      <c r="F315" s="1" t="n"/>
      <c r="G315" s="12" t="n"/>
      <c r="H315" s="3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>
      <c r="A316" s="1" t="n"/>
      <c r="C316" s="2" t="n"/>
      <c r="E316" s="1" t="n"/>
      <c r="F316" s="1" t="n"/>
      <c r="G316" s="12" t="n"/>
      <c r="H316" s="3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>
      <c r="A317" s="1" t="n"/>
      <c r="C317" s="2" t="n"/>
      <c r="E317" s="1" t="n"/>
      <c r="F317" s="1" t="n"/>
      <c r="G317" s="12" t="n"/>
      <c r="H317" s="3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>
      <c r="A318" s="1" t="n"/>
      <c r="C318" s="2" t="n"/>
      <c r="E318" s="1" t="n"/>
      <c r="F318" s="1" t="n"/>
      <c r="G318" s="12" t="n"/>
      <c r="H318" s="3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>
      <c r="A319" s="1" t="n"/>
      <c r="C319" s="2" t="n"/>
      <c r="E319" s="1" t="n"/>
      <c r="F319" s="1" t="n"/>
      <c r="G319" s="12" t="n"/>
      <c r="H319" s="3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>
      <c r="A320" s="1" t="n"/>
      <c r="C320" s="2" t="n"/>
      <c r="E320" s="1" t="n"/>
      <c r="F320" s="1" t="n"/>
      <c r="G320" s="12" t="n"/>
      <c r="H320" s="3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>
      <c r="A321" s="1" t="n"/>
      <c r="C321" s="2" t="n"/>
      <c r="E321" s="1" t="n"/>
      <c r="F321" s="1" t="n"/>
      <c r="G321" s="12" t="n"/>
      <c r="H321" s="3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>
      <c r="A322" s="1" t="n"/>
      <c r="C322" s="2" t="n"/>
      <c r="E322" s="1" t="n"/>
      <c r="F322" s="1" t="n"/>
      <c r="G322" s="12" t="n"/>
      <c r="H322" s="3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>
      <c r="A323" s="1" t="n"/>
      <c r="C323" s="2" t="n"/>
      <c r="E323" s="1" t="n"/>
      <c r="F323" s="1" t="n"/>
      <c r="G323" s="12" t="n"/>
      <c r="H323" s="3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>
      <c r="A324" s="1" t="n"/>
      <c r="C324" s="2" t="n"/>
      <c r="E324" s="1" t="n"/>
      <c r="F324" s="1" t="n"/>
      <c r="G324" s="12" t="n"/>
      <c r="H324" s="3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>
      <c r="A325" s="1" t="n"/>
      <c r="C325" s="2" t="n"/>
      <c r="E325" s="1" t="n"/>
      <c r="F325" s="1" t="n"/>
      <c r="G325" s="12" t="n"/>
      <c r="H325" s="3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>
      <c r="A326" s="1" t="n"/>
      <c r="C326" s="2" t="n"/>
      <c r="E326" s="1" t="n"/>
      <c r="F326" s="1" t="n"/>
      <c r="G326" s="12" t="n"/>
      <c r="H326" s="3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>
      <c r="A327" s="1" t="n"/>
      <c r="C327" s="2" t="n"/>
      <c r="E327" s="1" t="n"/>
      <c r="F327" s="1" t="n"/>
      <c r="G327" s="12" t="n"/>
      <c r="H327" s="3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>
      <c r="A328" s="1" t="n"/>
      <c r="C328" s="2" t="n"/>
      <c r="E328" s="1" t="n"/>
      <c r="F328" s="1" t="n"/>
      <c r="G328" s="12" t="n"/>
      <c r="H328" s="3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>
      <c r="A329" s="1" t="n"/>
      <c r="C329" s="2" t="n"/>
      <c r="E329" s="1" t="n"/>
      <c r="F329" s="1" t="n"/>
      <c r="G329" s="12" t="n"/>
      <c r="H329" s="3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>
      <c r="A330" s="1" t="n"/>
      <c r="C330" s="2" t="n"/>
      <c r="E330" s="1" t="n"/>
      <c r="F330" s="1" t="n"/>
      <c r="G330" s="12" t="n"/>
      <c r="H330" s="3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>
      <c r="A331" s="1" t="n"/>
      <c r="C331" s="2" t="n"/>
      <c r="E331" s="1" t="n"/>
      <c r="F331" s="1" t="n"/>
      <c r="G331" s="12" t="n"/>
      <c r="H331" s="3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>
      <c r="A332" s="1" t="n"/>
      <c r="C332" s="2" t="n"/>
      <c r="E332" s="1" t="n"/>
      <c r="F332" s="1" t="n"/>
      <c r="G332" s="12" t="n"/>
      <c r="H332" s="3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>
      <c r="A333" s="1" t="n"/>
      <c r="C333" s="2" t="n"/>
      <c r="E333" s="1" t="n"/>
      <c r="F333" s="1" t="n"/>
      <c r="G333" s="12" t="n"/>
      <c r="H333" s="3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>
      <c r="A334" s="1" t="n"/>
      <c r="C334" s="2" t="n"/>
      <c r="E334" s="1" t="n"/>
      <c r="F334" s="1" t="n"/>
      <c r="G334" s="12" t="n"/>
      <c r="H334" s="3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>
      <c r="A335" s="1" t="n"/>
      <c r="C335" s="2" t="n"/>
      <c r="E335" s="1" t="n"/>
      <c r="F335" s="1" t="n"/>
      <c r="G335" s="12" t="n"/>
      <c r="H335" s="3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>
      <c r="A336" s="1" t="n"/>
      <c r="C336" s="2" t="n"/>
      <c r="E336" s="1" t="n"/>
      <c r="F336" s="1" t="n"/>
      <c r="G336" s="12" t="n"/>
      <c r="H336" s="3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>
      <c r="A337" s="1" t="n"/>
      <c r="C337" s="2" t="n"/>
      <c r="E337" s="1" t="n"/>
      <c r="F337" s="1" t="n"/>
      <c r="G337" s="12" t="n"/>
      <c r="H337" s="3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>
      <c r="A338" s="1" t="n"/>
      <c r="C338" s="2" t="n"/>
      <c r="E338" s="1" t="n"/>
      <c r="F338" s="1" t="n"/>
      <c r="G338" s="12" t="n"/>
      <c r="H338" s="3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>
      <c r="A339" s="1" t="n"/>
      <c r="C339" s="2" t="n"/>
      <c r="E339" s="1" t="n"/>
      <c r="F339" s="1" t="n"/>
      <c r="G339" s="12" t="n"/>
      <c r="H339" s="3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>
      <c r="A340" s="1" t="n"/>
      <c r="C340" s="2" t="n"/>
      <c r="E340" s="1" t="n"/>
      <c r="F340" s="1" t="n"/>
      <c r="G340" s="12" t="n"/>
      <c r="H340" s="3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>
      <c r="A341" s="1" t="n"/>
      <c r="C341" s="2" t="n"/>
      <c r="E341" s="1" t="n"/>
      <c r="F341" s="1" t="n"/>
      <c r="G341" s="12" t="n"/>
      <c r="H341" s="3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>
      <c r="A342" s="1" t="n"/>
      <c r="C342" s="2" t="n"/>
      <c r="E342" s="1" t="n"/>
      <c r="F342" s="1" t="n"/>
      <c r="G342" s="12" t="n"/>
      <c r="H342" s="3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>
      <c r="A343" s="1" t="n"/>
      <c r="C343" s="2" t="n"/>
      <c r="E343" s="1" t="n"/>
      <c r="F343" s="1" t="n"/>
      <c r="G343" s="12" t="n"/>
      <c r="H343" s="3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>
      <c r="A344" s="1" t="n"/>
      <c r="C344" s="2" t="n"/>
      <c r="E344" s="1" t="n"/>
      <c r="F344" s="1" t="n"/>
      <c r="G344" s="12" t="n"/>
      <c r="H344" s="3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>
      <c r="A345" s="1" t="n"/>
      <c r="C345" s="2" t="n"/>
      <c r="E345" s="1" t="n"/>
      <c r="F345" s="1" t="n"/>
      <c r="G345" s="12" t="n"/>
      <c r="H345" s="3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>
      <c r="A346" s="1" t="n"/>
      <c r="C346" s="2" t="n"/>
      <c r="E346" s="1" t="n"/>
      <c r="F346" s="1" t="n"/>
      <c r="G346" s="12" t="n"/>
      <c r="H346" s="3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>
      <c r="A347" s="1" t="n"/>
      <c r="C347" s="2" t="n"/>
      <c r="E347" s="1" t="n"/>
      <c r="F347" s="1" t="n"/>
      <c r="G347" s="12" t="n"/>
      <c r="H347" s="3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>
      <c r="A348" s="1" t="n"/>
      <c r="C348" s="2" t="n"/>
      <c r="E348" s="1" t="n"/>
      <c r="F348" s="1" t="n"/>
      <c r="G348" s="12" t="n"/>
      <c r="H348" s="3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>
      <c r="A349" s="1" t="n"/>
      <c r="C349" s="2" t="n"/>
      <c r="E349" s="1" t="n"/>
      <c r="F349" s="1" t="n"/>
      <c r="G349" s="12" t="n"/>
      <c r="H349" s="3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>
      <c r="A350" s="1" t="n"/>
      <c r="C350" s="2" t="n"/>
      <c r="E350" s="1" t="n"/>
      <c r="F350" s="1" t="n"/>
      <c r="G350" s="12" t="n"/>
      <c r="H350" s="3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>
      <c r="A351" s="1" t="n"/>
      <c r="C351" s="2" t="n"/>
      <c r="E351" s="1" t="n"/>
      <c r="F351" s="1" t="n"/>
      <c r="G351" s="12" t="n"/>
      <c r="H351" s="3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>
      <c r="A352" s="1" t="n"/>
      <c r="C352" s="2" t="n"/>
      <c r="E352" s="1" t="n"/>
      <c r="F352" s="1" t="n"/>
      <c r="G352" s="12" t="n"/>
      <c r="H352" s="3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>
      <c r="A353" s="1" t="n"/>
      <c r="C353" s="2" t="n"/>
      <c r="E353" s="1" t="n"/>
      <c r="F353" s="1" t="n"/>
      <c r="G353" s="12" t="n"/>
      <c r="H353" s="3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>
      <c r="A354" s="1" t="n"/>
      <c r="C354" s="2" t="n"/>
      <c r="E354" s="1" t="n"/>
      <c r="F354" s="1" t="n"/>
      <c r="G354" s="12" t="n"/>
      <c r="H354" s="3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>
      <c r="A355" s="1" t="n"/>
      <c r="C355" s="2" t="n"/>
      <c r="E355" s="1" t="n"/>
      <c r="F355" s="1" t="n"/>
      <c r="G355" s="12" t="n"/>
      <c r="H355" s="3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>
      <c r="A356" s="1" t="n"/>
      <c r="C356" s="2" t="n"/>
      <c r="E356" s="1" t="n"/>
      <c r="F356" s="1" t="n"/>
      <c r="G356" s="12" t="n"/>
      <c r="H356" s="3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>
      <c r="A357" s="1" t="n"/>
      <c r="C357" s="2" t="n"/>
      <c r="E357" s="1" t="n"/>
      <c r="F357" s="1" t="n"/>
      <c r="G357" s="12" t="n"/>
      <c r="H357" s="3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>
      <c r="A358" s="1" t="n"/>
      <c r="C358" s="2" t="n"/>
      <c r="E358" s="1" t="n"/>
      <c r="F358" s="1" t="n"/>
      <c r="G358" s="12" t="n"/>
      <c r="H358" s="3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>
      <c r="A359" s="1" t="n"/>
      <c r="C359" s="2" t="n"/>
      <c r="E359" s="1" t="n"/>
      <c r="F359" s="1" t="n"/>
      <c r="G359" s="12" t="n"/>
      <c r="H359" s="3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>
      <c r="A360" s="1" t="n"/>
      <c r="C360" s="2" t="n"/>
      <c r="E360" s="1" t="n"/>
      <c r="F360" s="1" t="n"/>
      <c r="G360" s="12" t="n"/>
      <c r="H360" s="3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>
      <c r="A361" s="1" t="n"/>
      <c r="C361" s="2" t="n"/>
      <c r="E361" s="1" t="n"/>
      <c r="F361" s="1" t="n"/>
      <c r="G361" s="12" t="n"/>
      <c r="H361" s="3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>
      <c r="A362" s="1" t="n"/>
      <c r="C362" s="2" t="n"/>
      <c r="E362" s="1" t="n"/>
      <c r="F362" s="1" t="n"/>
      <c r="G362" s="12" t="n"/>
      <c r="H362" s="3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>
      <c r="A363" s="1" t="n"/>
      <c r="C363" s="2" t="n"/>
      <c r="E363" s="1" t="n"/>
      <c r="F363" s="1" t="n"/>
      <c r="G363" s="12" t="n"/>
      <c r="H363" s="3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>
      <c r="A364" s="1" t="n"/>
      <c r="C364" s="2" t="n"/>
      <c r="E364" s="1" t="n"/>
      <c r="F364" s="1" t="n"/>
      <c r="G364" s="12" t="n"/>
      <c r="H364" s="3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>
      <c r="A365" s="1" t="n"/>
      <c r="C365" s="2" t="n"/>
      <c r="E365" s="1" t="n"/>
      <c r="F365" s="1" t="n"/>
      <c r="G365" s="12" t="n"/>
      <c r="H365" s="3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>
      <c r="A366" s="1" t="n"/>
      <c r="C366" s="2" t="n"/>
      <c r="E366" s="1" t="n"/>
      <c r="F366" s="1" t="n"/>
      <c r="G366" s="12" t="n"/>
      <c r="H366" s="3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>
      <c r="A367" s="1" t="n"/>
      <c r="C367" s="2" t="n"/>
      <c r="E367" s="1" t="n"/>
      <c r="F367" s="1" t="n"/>
      <c r="G367" s="12" t="n"/>
      <c r="H367" s="3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>
      <c r="A368" s="1" t="n"/>
      <c r="C368" s="2" t="n"/>
      <c r="E368" s="1" t="n"/>
      <c r="F368" s="1" t="n"/>
      <c r="G368" s="12" t="n"/>
      <c r="H368" s="3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>
      <c r="A369" s="1" t="n"/>
      <c r="C369" s="2" t="n"/>
      <c r="E369" s="1" t="n"/>
      <c r="F369" s="1" t="n"/>
      <c r="G369" s="12" t="n"/>
      <c r="H369" s="3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>
      <c r="A370" s="1" t="n"/>
      <c r="C370" s="2" t="n"/>
      <c r="E370" s="1" t="n"/>
      <c r="F370" s="1" t="n"/>
      <c r="G370" s="12" t="n"/>
      <c r="H370" s="3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>
      <c r="A371" s="1" t="n"/>
      <c r="C371" s="2" t="n"/>
      <c r="E371" s="1" t="n"/>
      <c r="F371" s="1" t="n"/>
      <c r="G371" s="12" t="n"/>
      <c r="H371" s="3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>
      <c r="A372" s="1" t="n"/>
      <c r="C372" s="2" t="n"/>
      <c r="E372" s="1" t="n"/>
      <c r="F372" s="1" t="n"/>
      <c r="G372" s="12" t="n"/>
      <c r="H372" s="3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>
      <c r="A373" s="1" t="n"/>
      <c r="C373" s="2" t="n"/>
      <c r="E373" s="1" t="n"/>
      <c r="F373" s="1" t="n"/>
      <c r="G373" s="12" t="n"/>
      <c r="H373" s="3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>
      <c r="A374" s="1" t="n"/>
      <c r="C374" s="2" t="n"/>
      <c r="E374" s="1" t="n"/>
      <c r="F374" s="1" t="n"/>
      <c r="G374" s="12" t="n"/>
      <c r="H374" s="3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>
      <c r="A375" s="1" t="n"/>
      <c r="C375" s="2" t="n"/>
      <c r="E375" s="1" t="n"/>
      <c r="F375" s="1" t="n"/>
      <c r="G375" s="12" t="n"/>
      <c r="H375" s="3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>
      <c r="A376" s="1" t="n"/>
      <c r="C376" s="2" t="n"/>
      <c r="E376" s="1" t="n"/>
      <c r="F376" s="1" t="n"/>
      <c r="G376" s="12" t="n"/>
      <c r="H376" s="3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>
      <c r="A377" s="1" t="n"/>
      <c r="C377" s="2" t="n"/>
      <c r="E377" s="1" t="n"/>
      <c r="F377" s="1" t="n"/>
      <c r="G377" s="12" t="n"/>
      <c r="H377" s="3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>
      <c r="A378" s="1" t="n"/>
      <c r="C378" s="2" t="n"/>
      <c r="E378" s="1" t="n"/>
      <c r="F378" s="1" t="n"/>
      <c r="G378" s="12" t="n"/>
      <c r="H378" s="3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>
      <c r="A379" s="1" t="n"/>
      <c r="C379" s="2" t="n"/>
      <c r="E379" s="1" t="n"/>
      <c r="F379" s="1" t="n"/>
      <c r="G379" s="12" t="n"/>
      <c r="H379" s="3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>
      <c r="A380" s="1" t="n"/>
      <c r="C380" s="2" t="n"/>
      <c r="E380" s="1" t="n"/>
      <c r="F380" s="1" t="n"/>
      <c r="G380" s="12" t="n"/>
      <c r="H380" s="3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>
      <c r="A381" s="1" t="n"/>
      <c r="C381" s="2" t="n"/>
      <c r="E381" s="1" t="n"/>
      <c r="F381" s="1" t="n"/>
      <c r="G381" s="12" t="n"/>
      <c r="H381" s="3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>
      <c r="A382" s="1" t="n"/>
      <c r="C382" s="2" t="n"/>
      <c r="E382" s="1" t="n"/>
      <c r="F382" s="1" t="n"/>
      <c r="G382" s="12" t="n"/>
      <c r="H382" s="3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>
      <c r="A383" s="1" t="n"/>
      <c r="C383" s="2" t="n"/>
      <c r="E383" s="1" t="n"/>
      <c r="F383" s="1" t="n"/>
      <c r="G383" s="12" t="n"/>
      <c r="H383" s="3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>
      <c r="A384" s="1" t="n"/>
      <c r="C384" s="2" t="n"/>
      <c r="E384" s="1" t="n"/>
      <c r="F384" s="1" t="n"/>
      <c r="G384" s="12" t="n"/>
      <c r="H384" s="3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>
      <c r="A385" s="1" t="n"/>
      <c r="C385" s="2" t="n"/>
      <c r="E385" s="1" t="n"/>
      <c r="F385" s="1" t="n"/>
      <c r="G385" s="12" t="n"/>
      <c r="H385" s="3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>
      <c r="A386" s="1" t="n"/>
      <c r="C386" s="2" t="n"/>
      <c r="E386" s="1" t="n"/>
      <c r="F386" s="1" t="n"/>
      <c r="G386" s="12" t="n"/>
      <c r="H386" s="3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>
      <c r="A387" s="1" t="n"/>
      <c r="C387" s="2" t="n"/>
      <c r="E387" s="1" t="n"/>
      <c r="F387" s="1" t="n"/>
      <c r="G387" s="12" t="n"/>
      <c r="H387" s="3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>
      <c r="A388" s="1" t="n"/>
      <c r="C388" s="2" t="n"/>
      <c r="E388" s="1" t="n"/>
      <c r="F388" s="1" t="n"/>
      <c r="G388" s="12" t="n"/>
      <c r="H388" s="3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>
      <c r="A389" s="1" t="n"/>
      <c r="C389" s="2" t="n"/>
      <c r="E389" s="1" t="n"/>
      <c r="F389" s="1" t="n"/>
      <c r="G389" s="12" t="n"/>
      <c r="H389" s="3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>
      <c r="A390" s="1" t="n"/>
      <c r="C390" s="2" t="n"/>
      <c r="E390" s="1" t="n"/>
      <c r="F390" s="1" t="n"/>
      <c r="G390" s="12" t="n"/>
      <c r="H390" s="3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>
      <c r="A391" s="1" t="n"/>
      <c r="C391" s="2" t="n"/>
      <c r="E391" s="1" t="n"/>
      <c r="F391" s="1" t="n"/>
      <c r="G391" s="12" t="n"/>
      <c r="H391" s="3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>
      <c r="A392" s="1" t="n"/>
      <c r="C392" s="2" t="n"/>
      <c r="E392" s="1" t="n"/>
      <c r="F392" s="1" t="n"/>
      <c r="G392" s="12" t="n"/>
      <c r="H392" s="3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>
      <c r="A393" s="1" t="n"/>
      <c r="C393" s="2" t="n"/>
      <c r="E393" s="1" t="n"/>
      <c r="F393" s="1" t="n"/>
      <c r="G393" s="12" t="n"/>
      <c r="H393" s="3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>
      <c r="A394" s="1" t="n"/>
      <c r="C394" s="2" t="n"/>
      <c r="E394" s="1" t="n"/>
      <c r="F394" s="1" t="n"/>
      <c r="G394" s="12" t="n"/>
      <c r="H394" s="3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>
      <c r="A395" s="1" t="n"/>
      <c r="C395" s="2" t="n"/>
      <c r="E395" s="1" t="n"/>
      <c r="F395" s="1" t="n"/>
      <c r="G395" s="12" t="n"/>
      <c r="H395" s="3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>
      <c r="A396" s="1" t="n"/>
      <c r="C396" s="2" t="n"/>
      <c r="E396" s="1" t="n"/>
      <c r="F396" s="1" t="n"/>
      <c r="G396" s="12" t="n"/>
      <c r="H396" s="3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>
      <c r="A397" s="1" t="n"/>
      <c r="C397" s="2" t="n"/>
      <c r="E397" s="1" t="n"/>
      <c r="F397" s="1" t="n"/>
      <c r="G397" s="12" t="n"/>
      <c r="H397" s="3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>
      <c r="A398" s="1" t="n"/>
      <c r="C398" s="2" t="n"/>
      <c r="E398" s="1" t="n"/>
      <c r="F398" s="1" t="n"/>
      <c r="G398" s="12" t="n"/>
      <c r="H398" s="3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>
      <c r="A399" s="1" t="n"/>
      <c r="C399" s="2" t="n"/>
      <c r="E399" s="1" t="n"/>
      <c r="F399" s="1" t="n"/>
      <c r="G399" s="12" t="n"/>
      <c r="H399" s="3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>
      <c r="A400" s="1" t="n"/>
      <c r="C400" s="2" t="n"/>
      <c r="E400" s="1" t="n"/>
      <c r="F400" s="1" t="n"/>
      <c r="G400" s="12" t="n"/>
      <c r="H400" s="3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>
      <c r="A401" s="1" t="n"/>
      <c r="C401" s="2" t="n"/>
      <c r="E401" s="1" t="n"/>
      <c r="F401" s="1" t="n"/>
      <c r="G401" s="12" t="n"/>
      <c r="H401" s="3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>
      <c r="A402" s="1" t="n"/>
      <c r="C402" s="2" t="n"/>
      <c r="E402" s="1" t="n"/>
      <c r="F402" s="1" t="n"/>
      <c r="G402" s="12" t="n"/>
      <c r="H402" s="3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>
      <c r="A403" s="1" t="n"/>
      <c r="C403" s="2" t="n"/>
      <c r="E403" s="1" t="n"/>
      <c r="F403" s="1" t="n"/>
      <c r="G403" s="12" t="n"/>
      <c r="H403" s="3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>
      <c r="A404" s="1" t="n"/>
      <c r="C404" s="2" t="n"/>
      <c r="E404" s="1" t="n"/>
      <c r="F404" s="1" t="n"/>
      <c r="G404" s="12" t="n"/>
      <c r="H404" s="3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>
      <c r="A405" s="1" t="n"/>
      <c r="C405" s="2" t="n"/>
      <c r="E405" s="1" t="n"/>
      <c r="F405" s="1" t="n"/>
      <c r="G405" s="12" t="n"/>
      <c r="H405" s="3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>
      <c r="A406" s="1" t="n"/>
      <c r="C406" s="2" t="n"/>
      <c r="E406" s="1" t="n"/>
      <c r="F406" s="1" t="n"/>
      <c r="G406" s="12" t="n"/>
      <c r="H406" s="3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>
      <c r="A407" s="1" t="n"/>
      <c r="C407" s="2" t="n"/>
      <c r="E407" s="1" t="n"/>
      <c r="F407" s="1" t="n"/>
      <c r="G407" s="12" t="n"/>
      <c r="H407" s="3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>
      <c r="A408" s="1" t="n"/>
      <c r="C408" s="2" t="n"/>
      <c r="E408" s="1" t="n"/>
      <c r="F408" s="1" t="n"/>
      <c r="G408" s="12" t="n"/>
      <c r="H408" s="3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>
      <c r="A409" s="1" t="n"/>
      <c r="C409" s="2" t="n"/>
      <c r="E409" s="1" t="n"/>
      <c r="F409" s="1" t="n"/>
      <c r="G409" s="12" t="n"/>
      <c r="H409" s="3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>
      <c r="A410" s="1" t="n"/>
      <c r="C410" s="2" t="n"/>
      <c r="E410" s="1" t="n"/>
      <c r="F410" s="1" t="n"/>
      <c r="G410" s="12" t="n"/>
      <c r="H410" s="3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>
      <c r="A411" s="1" t="n"/>
      <c r="C411" s="2" t="n"/>
      <c r="E411" s="1" t="n"/>
      <c r="F411" s="1" t="n"/>
      <c r="G411" s="12" t="n"/>
      <c r="H411" s="3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>
      <c r="A412" s="1" t="n"/>
      <c r="C412" s="2" t="n"/>
      <c r="E412" s="1" t="n"/>
      <c r="F412" s="1" t="n"/>
      <c r="G412" s="12" t="n"/>
      <c r="H412" s="3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>
      <c r="A413" s="1" t="n"/>
      <c r="C413" s="2" t="n"/>
      <c r="E413" s="1" t="n"/>
      <c r="F413" s="1" t="n"/>
      <c r="G413" s="12" t="n"/>
      <c r="H413" s="3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>
      <c r="A414" s="1" t="n"/>
      <c r="C414" s="2" t="n"/>
      <c r="E414" s="1" t="n"/>
      <c r="F414" s="1" t="n"/>
      <c r="G414" s="12" t="n"/>
      <c r="H414" s="3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>
      <c r="A415" s="1" t="n"/>
      <c r="C415" s="2" t="n"/>
      <c r="E415" s="1" t="n"/>
      <c r="F415" s="1" t="n"/>
      <c r="G415" s="12" t="n"/>
      <c r="H415" s="3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>
      <c r="A416" s="1" t="n"/>
      <c r="C416" s="2" t="n"/>
      <c r="E416" s="1" t="n"/>
      <c r="F416" s="1" t="n"/>
      <c r="G416" s="12" t="n"/>
      <c r="H416" s="3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>
      <c r="A417" s="1" t="n"/>
      <c r="C417" s="2" t="n"/>
      <c r="E417" s="1" t="n"/>
      <c r="F417" s="1" t="n"/>
      <c r="G417" s="12" t="n"/>
      <c r="H417" s="3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>
      <c r="A418" s="1" t="n"/>
      <c r="C418" s="2" t="n"/>
      <c r="E418" s="1" t="n"/>
      <c r="F418" s="1" t="n"/>
      <c r="G418" s="12" t="n"/>
      <c r="H418" s="3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>
      <c r="A419" s="1" t="n"/>
      <c r="C419" s="2" t="n"/>
      <c r="E419" s="1" t="n"/>
      <c r="F419" s="1" t="n"/>
      <c r="G419" s="12" t="n"/>
      <c r="H419" s="3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>
      <c r="A420" s="1" t="n"/>
      <c r="C420" s="2" t="n"/>
      <c r="E420" s="1" t="n"/>
      <c r="F420" s="1" t="n"/>
      <c r="G420" s="12" t="n"/>
      <c r="H420" s="3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>
      <c r="A421" s="1" t="n"/>
      <c r="C421" s="2" t="n"/>
      <c r="E421" s="1" t="n"/>
      <c r="F421" s="1" t="n"/>
      <c r="G421" s="12" t="n"/>
      <c r="H421" s="3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>
      <c r="A422" s="1" t="n"/>
      <c r="C422" s="2" t="n"/>
      <c r="E422" s="1" t="n"/>
      <c r="F422" s="1" t="n"/>
      <c r="G422" s="12" t="n"/>
      <c r="H422" s="3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>
      <c r="A423" s="1" t="n"/>
      <c r="C423" s="2" t="n"/>
      <c r="E423" s="1" t="n"/>
      <c r="F423" s="1" t="n"/>
      <c r="G423" s="12" t="n"/>
      <c r="H423" s="3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>
      <c r="A424" s="1" t="n"/>
      <c r="C424" s="2" t="n"/>
      <c r="E424" s="1" t="n"/>
      <c r="F424" s="1" t="n"/>
      <c r="G424" s="12" t="n"/>
      <c r="H424" s="3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>
      <c r="A425" s="1" t="n"/>
      <c r="C425" s="2" t="n"/>
      <c r="E425" s="1" t="n"/>
      <c r="F425" s="1" t="n"/>
      <c r="G425" s="12" t="n"/>
      <c r="H425" s="3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>
      <c r="A426" s="1" t="n"/>
      <c r="C426" s="2" t="n"/>
      <c r="E426" s="1" t="n"/>
      <c r="F426" s="1" t="n"/>
      <c r="G426" s="12" t="n"/>
      <c r="H426" s="3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>
      <c r="A427" s="1" t="n"/>
      <c r="C427" s="2" t="n"/>
      <c r="E427" s="1" t="n"/>
      <c r="F427" s="1" t="n"/>
      <c r="G427" s="12" t="n"/>
      <c r="H427" s="3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>
      <c r="A428" s="1" t="n"/>
      <c r="C428" s="2" t="n"/>
      <c r="E428" s="1" t="n"/>
      <c r="F428" s="1" t="n"/>
      <c r="G428" s="12" t="n"/>
      <c r="H428" s="3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>
      <c r="A429" s="1" t="n"/>
      <c r="C429" s="2" t="n"/>
      <c r="E429" s="1" t="n"/>
      <c r="F429" s="1" t="n"/>
      <c r="G429" s="12" t="n"/>
      <c r="H429" s="3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>
      <c r="A430" s="1" t="n"/>
      <c r="C430" s="2" t="n"/>
      <c r="E430" s="1" t="n"/>
      <c r="F430" s="1" t="n"/>
      <c r="G430" s="12" t="n"/>
      <c r="H430" s="3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>
      <c r="A431" s="1" t="n"/>
      <c r="C431" s="2" t="n"/>
      <c r="E431" s="1" t="n"/>
      <c r="F431" s="1" t="n"/>
      <c r="G431" s="12" t="n"/>
      <c r="H431" s="3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>
      <c r="A432" s="1" t="n"/>
      <c r="C432" s="2" t="n"/>
      <c r="E432" s="1" t="n"/>
      <c r="F432" s="1" t="n"/>
      <c r="G432" s="12" t="n"/>
      <c r="H432" s="3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>
      <c r="A433" s="1" t="n"/>
      <c r="C433" s="2" t="n"/>
      <c r="E433" s="1" t="n"/>
      <c r="F433" s="1" t="n"/>
      <c r="G433" s="12" t="n"/>
      <c r="H433" s="3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>
      <c r="A434" s="1" t="n"/>
      <c r="C434" s="2" t="n"/>
      <c r="E434" s="1" t="n"/>
      <c r="F434" s="1" t="n"/>
      <c r="G434" s="12" t="n"/>
      <c r="H434" s="3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>
      <c r="A435" s="1" t="n"/>
      <c r="C435" s="2" t="n"/>
      <c r="E435" s="1" t="n"/>
      <c r="F435" s="1" t="n"/>
      <c r="G435" s="12" t="n"/>
      <c r="H435" s="3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>
      <c r="A436" s="1" t="n"/>
      <c r="C436" s="2" t="n"/>
      <c r="E436" s="1" t="n"/>
      <c r="F436" s="1" t="n"/>
      <c r="G436" s="12" t="n"/>
      <c r="H436" s="3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>
      <c r="A437" s="1" t="n"/>
      <c r="C437" s="2" t="n"/>
      <c r="E437" s="1" t="n"/>
      <c r="F437" s="1" t="n"/>
      <c r="G437" s="12" t="n"/>
      <c r="H437" s="3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>
      <c r="A438" s="1" t="n"/>
      <c r="C438" s="2" t="n"/>
      <c r="E438" s="1" t="n"/>
      <c r="F438" s="1" t="n"/>
      <c r="G438" s="12" t="n"/>
      <c r="H438" s="3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>
      <c r="A439" s="1" t="n"/>
      <c r="C439" s="2" t="n"/>
      <c r="E439" s="1" t="n"/>
      <c r="F439" s="1" t="n"/>
      <c r="G439" s="12" t="n"/>
      <c r="H439" s="3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>
      <c r="A440" s="1" t="n"/>
      <c r="C440" s="2" t="n"/>
      <c r="E440" s="1" t="n"/>
      <c r="F440" s="1" t="n"/>
      <c r="G440" s="12" t="n"/>
      <c r="H440" s="3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>
      <c r="A441" s="1" t="n"/>
      <c r="C441" s="2" t="n"/>
      <c r="E441" s="1" t="n"/>
      <c r="F441" s="1" t="n"/>
      <c r="G441" s="12" t="n"/>
      <c r="H441" s="3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>
      <c r="A442" s="1" t="n"/>
      <c r="C442" s="2" t="n"/>
      <c r="E442" s="1" t="n"/>
      <c r="F442" s="1" t="n"/>
      <c r="G442" s="12" t="n"/>
      <c r="H442" s="3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>
      <c r="A443" s="1" t="n"/>
      <c r="C443" s="2" t="n"/>
      <c r="E443" s="1" t="n"/>
      <c r="F443" s="1" t="n"/>
      <c r="G443" s="12" t="n"/>
      <c r="H443" s="3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>
      <c r="A444" s="1" t="n"/>
      <c r="C444" s="2" t="n"/>
      <c r="E444" s="1" t="n"/>
      <c r="F444" s="1" t="n"/>
      <c r="G444" s="12" t="n"/>
      <c r="H444" s="3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>
      <c r="A445" s="1" t="n"/>
      <c r="C445" s="2" t="n"/>
      <c r="E445" s="1" t="n"/>
      <c r="F445" s="1" t="n"/>
      <c r="G445" s="12" t="n"/>
      <c r="H445" s="3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>
      <c r="A446" s="1" t="n"/>
      <c r="C446" s="2" t="n"/>
      <c r="E446" s="1" t="n"/>
      <c r="F446" s="1" t="n"/>
      <c r="G446" s="12" t="n"/>
      <c r="H446" s="3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>
      <c r="A447" s="1" t="n"/>
      <c r="C447" s="2" t="n"/>
      <c r="E447" s="1" t="n"/>
      <c r="F447" s="1" t="n"/>
      <c r="G447" s="12" t="n"/>
      <c r="H447" s="3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>
      <c r="A448" s="1" t="n"/>
      <c r="C448" s="2" t="n"/>
      <c r="E448" s="1" t="n"/>
      <c r="F448" s="1" t="n"/>
      <c r="G448" s="12" t="n"/>
      <c r="H448" s="3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>
      <c r="A449" s="1" t="n"/>
      <c r="C449" s="2" t="n"/>
      <c r="E449" s="1" t="n"/>
      <c r="F449" s="1" t="n"/>
      <c r="G449" s="12" t="n"/>
      <c r="H449" s="3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>
      <c r="A450" s="1" t="n"/>
      <c r="C450" s="2" t="n"/>
      <c r="E450" s="1" t="n"/>
      <c r="F450" s="1" t="n"/>
      <c r="G450" s="12" t="n"/>
      <c r="H450" s="3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>
      <c r="A451" s="1" t="n"/>
      <c r="C451" s="2" t="n"/>
      <c r="E451" s="1" t="n"/>
      <c r="F451" s="1" t="n"/>
      <c r="G451" s="12" t="n"/>
      <c r="H451" s="3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>
      <c r="A452" s="1" t="n"/>
      <c r="C452" s="2" t="n"/>
      <c r="E452" s="1" t="n"/>
      <c r="F452" s="1" t="n"/>
      <c r="G452" s="12" t="n"/>
      <c r="H452" s="3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>
      <c r="A453" s="1" t="n"/>
      <c r="C453" s="2" t="n"/>
      <c r="E453" s="1" t="n"/>
      <c r="F453" s="1" t="n"/>
      <c r="G453" s="12" t="n"/>
      <c r="H453" s="3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>
      <c r="A454" s="1" t="n"/>
      <c r="C454" s="2" t="n"/>
      <c r="E454" s="1" t="n"/>
      <c r="F454" s="1" t="n"/>
      <c r="G454" s="12" t="n"/>
      <c r="H454" s="3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>
      <c r="A455" s="1" t="n"/>
      <c r="C455" s="2" t="n"/>
      <c r="E455" s="1" t="n"/>
      <c r="F455" s="1" t="n"/>
      <c r="G455" s="12" t="n"/>
      <c r="H455" s="3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>
      <c r="A456" s="1" t="n"/>
      <c r="C456" s="2" t="n"/>
      <c r="E456" s="1" t="n"/>
      <c r="F456" s="1" t="n"/>
      <c r="G456" s="12" t="n"/>
      <c r="H456" s="3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>
      <c r="A457" s="1" t="n"/>
      <c r="C457" s="2" t="n"/>
      <c r="E457" s="1" t="n"/>
      <c r="F457" s="1" t="n"/>
      <c r="G457" s="12" t="n"/>
      <c r="H457" s="3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>
      <c r="A458" s="1" t="n"/>
      <c r="C458" s="2" t="n"/>
      <c r="E458" s="1" t="n"/>
      <c r="F458" s="1" t="n"/>
      <c r="G458" s="12" t="n"/>
      <c r="H458" s="3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>
      <c r="A459" s="1" t="n"/>
      <c r="C459" s="2" t="n"/>
      <c r="E459" s="1" t="n"/>
      <c r="F459" s="1" t="n"/>
      <c r="G459" s="12" t="n"/>
      <c r="H459" s="3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>
      <c r="A460" s="1" t="n"/>
      <c r="C460" s="2" t="n"/>
      <c r="E460" s="1" t="n"/>
      <c r="F460" s="1" t="n"/>
      <c r="G460" s="12" t="n"/>
      <c r="H460" s="3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>
      <c r="A461" s="1" t="n"/>
      <c r="C461" s="2" t="n"/>
      <c r="E461" s="1" t="n"/>
      <c r="F461" s="1" t="n"/>
      <c r="G461" s="12" t="n"/>
      <c r="H461" s="3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>
      <c r="A462" s="1" t="n"/>
      <c r="C462" s="2" t="n"/>
      <c r="E462" s="1" t="n"/>
      <c r="F462" s="1" t="n"/>
      <c r="G462" s="12" t="n"/>
      <c r="H462" s="3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>
      <c r="A463" s="1" t="n"/>
      <c r="C463" s="2" t="n"/>
      <c r="E463" s="1" t="n"/>
      <c r="F463" s="1" t="n"/>
      <c r="G463" s="12" t="n"/>
      <c r="H463" s="3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>
      <c r="A464" s="1" t="n"/>
      <c r="C464" s="2" t="n"/>
      <c r="E464" s="1" t="n"/>
      <c r="F464" s="1" t="n"/>
      <c r="G464" s="12" t="n"/>
      <c r="H464" s="3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>
      <c r="A465" s="1" t="n"/>
      <c r="C465" s="2" t="n"/>
      <c r="E465" s="1" t="n"/>
      <c r="F465" s="1" t="n"/>
      <c r="G465" s="12" t="n"/>
      <c r="H465" s="3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>
      <c r="A466" s="1" t="n"/>
      <c r="C466" s="2" t="n"/>
      <c r="E466" s="1" t="n"/>
      <c r="F466" s="1" t="n"/>
      <c r="G466" s="12" t="n"/>
      <c r="H466" s="3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>
      <c r="A467" s="1" t="n"/>
      <c r="C467" s="2" t="n"/>
      <c r="E467" s="1" t="n"/>
      <c r="F467" s="1" t="n"/>
      <c r="G467" s="12" t="n"/>
      <c r="H467" s="3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>
      <c r="A468" s="1" t="n"/>
      <c r="C468" s="2" t="n"/>
      <c r="E468" s="1" t="n"/>
      <c r="F468" s="1" t="n"/>
      <c r="G468" s="12" t="n"/>
      <c r="H468" s="3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>
      <c r="A469" s="1" t="n"/>
      <c r="C469" s="2" t="n"/>
      <c r="E469" s="1" t="n"/>
      <c r="F469" s="1" t="n"/>
      <c r="G469" s="12" t="n"/>
      <c r="H469" s="3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>
      <c r="A470" s="1" t="n"/>
      <c r="C470" s="2" t="n"/>
      <c r="E470" s="1" t="n"/>
      <c r="F470" s="1" t="n"/>
      <c r="G470" s="12" t="n"/>
      <c r="H470" s="3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>
      <c r="A471" s="1" t="n"/>
      <c r="C471" s="2" t="n"/>
      <c r="E471" s="1" t="n"/>
      <c r="F471" s="1" t="n"/>
      <c r="G471" s="12" t="n"/>
      <c r="H471" s="3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>
      <c r="A472" s="1" t="n"/>
      <c r="C472" s="2" t="n"/>
      <c r="E472" s="1" t="n"/>
      <c r="F472" s="1" t="n"/>
      <c r="G472" s="12" t="n"/>
      <c r="H472" s="3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>
      <c r="A473" s="1" t="n"/>
      <c r="C473" s="2" t="n"/>
      <c r="E473" s="1" t="n"/>
      <c r="F473" s="1" t="n"/>
      <c r="G473" s="12" t="n"/>
      <c r="H473" s="3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>
      <c r="A474" s="1" t="n"/>
      <c r="C474" s="2" t="n"/>
      <c r="E474" s="1" t="n"/>
      <c r="F474" s="1" t="n"/>
      <c r="G474" s="12" t="n"/>
      <c r="H474" s="3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>
      <c r="A475" s="1" t="n"/>
      <c r="C475" s="2" t="n"/>
      <c r="E475" s="1" t="n"/>
      <c r="F475" s="1" t="n"/>
      <c r="G475" s="12" t="n"/>
      <c r="H475" s="3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>
      <c r="A476" s="1" t="n"/>
      <c r="C476" s="2" t="n"/>
      <c r="E476" s="1" t="n"/>
      <c r="F476" s="1" t="n"/>
      <c r="G476" s="12" t="n"/>
      <c r="H476" s="3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>
      <c r="A477" s="1" t="n"/>
      <c r="C477" s="2" t="n"/>
      <c r="E477" s="1" t="n"/>
      <c r="F477" s="1" t="n"/>
      <c r="G477" s="12" t="n"/>
      <c r="H477" s="3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>
      <c r="A478" s="1" t="n"/>
      <c r="C478" s="2" t="n"/>
      <c r="E478" s="1" t="n"/>
      <c r="F478" s="1" t="n"/>
      <c r="G478" s="12" t="n"/>
      <c r="H478" s="3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>
      <c r="A479" s="1" t="n"/>
      <c r="C479" s="2" t="n"/>
      <c r="E479" s="1" t="n"/>
      <c r="F479" s="1" t="n"/>
      <c r="G479" s="12" t="n"/>
      <c r="H479" s="3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>
      <c r="A480" s="1" t="n"/>
      <c r="C480" s="2" t="n"/>
      <c r="E480" s="1" t="n"/>
      <c r="F480" s="1" t="n"/>
      <c r="G480" s="12" t="n"/>
      <c r="H480" s="3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>
      <c r="A481" s="1" t="n"/>
      <c r="C481" s="2" t="n"/>
      <c r="E481" s="1" t="n"/>
      <c r="F481" s="1" t="n"/>
      <c r="G481" s="12" t="n"/>
      <c r="H481" s="3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>
      <c r="A482" s="1" t="n"/>
      <c r="C482" s="2" t="n"/>
      <c r="E482" s="1" t="n"/>
      <c r="F482" s="1" t="n"/>
      <c r="G482" s="12" t="n"/>
      <c r="H482" s="3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>
      <c r="A483" s="1" t="n"/>
      <c r="C483" s="2" t="n"/>
      <c r="E483" s="1" t="n"/>
      <c r="F483" s="1" t="n"/>
      <c r="G483" s="12" t="n"/>
      <c r="H483" s="3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>
      <c r="A484" s="1" t="n"/>
      <c r="C484" s="2" t="n"/>
      <c r="E484" s="1" t="n"/>
      <c r="F484" s="1" t="n"/>
      <c r="G484" s="12" t="n"/>
      <c r="H484" s="3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>
      <c r="A485" s="1" t="n"/>
      <c r="C485" s="2" t="n"/>
      <c r="E485" s="1" t="n"/>
      <c r="F485" s="1" t="n"/>
      <c r="G485" s="12" t="n"/>
      <c r="H485" s="3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>
      <c r="A486" s="1" t="n"/>
      <c r="C486" s="2" t="n"/>
      <c r="E486" s="1" t="n"/>
      <c r="F486" s="1" t="n"/>
      <c r="G486" s="12" t="n"/>
      <c r="H486" s="3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>
      <c r="A487" s="1" t="n"/>
      <c r="C487" s="2" t="n"/>
      <c r="E487" s="1" t="n"/>
      <c r="F487" s="1" t="n"/>
      <c r="G487" s="12" t="n"/>
      <c r="H487" s="3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>
      <c r="A488" s="1" t="n"/>
      <c r="C488" s="2" t="n"/>
      <c r="E488" s="1" t="n"/>
      <c r="F488" s="1" t="n"/>
      <c r="G488" s="12" t="n"/>
      <c r="H488" s="3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>
      <c r="A489" s="1" t="n"/>
      <c r="C489" s="2" t="n"/>
      <c r="E489" s="1" t="n"/>
      <c r="F489" s="1" t="n"/>
      <c r="G489" s="12" t="n"/>
      <c r="H489" s="3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>
      <c r="A490" s="1" t="n"/>
      <c r="C490" s="2" t="n"/>
      <c r="E490" s="1" t="n"/>
      <c r="F490" s="1" t="n"/>
      <c r="G490" s="12" t="n"/>
      <c r="H490" s="3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>
      <c r="A491" s="1" t="n"/>
      <c r="C491" s="2" t="n"/>
      <c r="E491" s="1" t="n"/>
      <c r="F491" s="1" t="n"/>
      <c r="G491" s="12" t="n"/>
      <c r="H491" s="3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>
      <c r="A492" s="1" t="n"/>
      <c r="C492" s="2" t="n"/>
      <c r="E492" s="1" t="n"/>
      <c r="F492" s="1" t="n"/>
      <c r="G492" s="12" t="n"/>
      <c r="H492" s="3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>
      <c r="A493" s="1" t="n"/>
      <c r="C493" s="2" t="n"/>
      <c r="E493" s="1" t="n"/>
      <c r="F493" s="1" t="n"/>
      <c r="G493" s="12" t="n"/>
      <c r="H493" s="3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>
      <c r="A494" s="1" t="n"/>
      <c r="C494" s="2" t="n"/>
      <c r="E494" s="1" t="n"/>
      <c r="F494" s="1" t="n"/>
      <c r="G494" s="12" t="n"/>
      <c r="H494" s="3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>
      <c r="A495" s="1" t="n"/>
      <c r="C495" s="2" t="n"/>
      <c r="E495" s="1" t="n"/>
      <c r="F495" s="1" t="n"/>
      <c r="G495" s="12" t="n"/>
      <c r="H495" s="3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>
      <c r="A496" s="1" t="n"/>
      <c r="C496" s="2" t="n"/>
      <c r="E496" s="1" t="n"/>
      <c r="F496" s="1" t="n"/>
      <c r="G496" s="12" t="n"/>
      <c r="H496" s="3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>
      <c r="A497" s="1" t="n"/>
      <c r="C497" s="2" t="n"/>
      <c r="E497" s="1" t="n"/>
      <c r="F497" s="1" t="n"/>
      <c r="G497" s="12" t="n"/>
      <c r="H497" s="3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>
      <c r="A498" s="1" t="n"/>
      <c r="C498" s="2" t="n"/>
      <c r="E498" s="1" t="n"/>
      <c r="F498" s="1" t="n"/>
      <c r="G498" s="12" t="n"/>
      <c r="H498" s="3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>
      <c r="A499" s="1" t="n"/>
      <c r="C499" s="2" t="n"/>
      <c r="E499" s="1" t="n"/>
      <c r="F499" s="1" t="n"/>
      <c r="G499" s="12" t="n"/>
      <c r="H499" s="3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>
      <c r="A500" s="1" t="n"/>
      <c r="C500" s="2" t="n"/>
      <c r="E500" s="1" t="n"/>
      <c r="F500" s="1" t="n"/>
      <c r="G500" s="12" t="n"/>
      <c r="H500" s="3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>
      <c r="A501" s="1" t="n"/>
      <c r="C501" s="2" t="n"/>
      <c r="E501" s="1" t="n"/>
      <c r="F501" s="1" t="n"/>
      <c r="G501" s="12" t="n"/>
      <c r="H501" s="3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>
      <c r="A502" s="1" t="n"/>
      <c r="C502" s="2" t="n"/>
      <c r="E502" s="1" t="n"/>
      <c r="F502" s="1" t="n"/>
      <c r="G502" s="12" t="n"/>
      <c r="H502" s="3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>
      <c r="A503" s="1" t="n"/>
      <c r="C503" s="2" t="n"/>
      <c r="E503" s="1" t="n"/>
      <c r="F503" s="1" t="n"/>
      <c r="G503" s="12" t="n"/>
      <c r="H503" s="3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>
      <c r="A504" s="1" t="n"/>
      <c r="C504" s="2" t="n"/>
      <c r="E504" s="1" t="n"/>
      <c r="F504" s="1" t="n"/>
      <c r="G504" s="12" t="n"/>
      <c r="H504" s="3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>
      <c r="A505" s="1" t="n"/>
      <c r="C505" s="2" t="n"/>
      <c r="E505" s="1" t="n"/>
      <c r="F505" s="1" t="n"/>
      <c r="G505" s="12" t="n"/>
      <c r="H505" s="3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>
      <c r="A506" s="1" t="n"/>
      <c r="C506" s="2" t="n"/>
      <c r="E506" s="1" t="n"/>
      <c r="F506" s="1" t="n"/>
      <c r="G506" s="12" t="n"/>
      <c r="H506" s="3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>
      <c r="A507" s="1" t="n"/>
      <c r="C507" s="2" t="n"/>
      <c r="E507" s="1" t="n"/>
      <c r="F507" s="1" t="n"/>
      <c r="G507" s="12" t="n"/>
      <c r="H507" s="3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>
      <c r="A508" s="1" t="n"/>
      <c r="C508" s="2" t="n"/>
      <c r="E508" s="1" t="n"/>
      <c r="F508" s="1" t="n"/>
      <c r="G508" s="12" t="n"/>
      <c r="H508" s="3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>
      <c r="A509" s="1" t="n"/>
      <c r="C509" s="2" t="n"/>
      <c r="E509" s="1" t="n"/>
      <c r="F509" s="1" t="n"/>
      <c r="G509" s="12" t="n"/>
      <c r="H509" s="3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>
      <c r="A510" s="1" t="n"/>
      <c r="C510" s="2" t="n"/>
      <c r="E510" s="1" t="n"/>
      <c r="F510" s="1" t="n"/>
      <c r="G510" s="12" t="n"/>
      <c r="H510" s="3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>
      <c r="A511" s="1" t="n"/>
      <c r="C511" s="2" t="n"/>
      <c r="E511" s="1" t="n"/>
      <c r="F511" s="1" t="n"/>
      <c r="G511" s="12" t="n"/>
      <c r="H511" s="3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>
      <c r="A512" s="1" t="n"/>
      <c r="C512" s="2" t="n"/>
      <c r="E512" s="1" t="n"/>
      <c r="F512" s="1" t="n"/>
      <c r="G512" s="12" t="n"/>
      <c r="H512" s="3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>
      <c r="A513" s="1" t="n"/>
      <c r="C513" s="2" t="n"/>
      <c r="E513" s="1" t="n"/>
      <c r="F513" s="1" t="n"/>
      <c r="G513" s="12" t="n"/>
      <c r="H513" s="3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>
      <c r="A514" s="1" t="n"/>
      <c r="C514" s="2" t="n"/>
      <c r="E514" s="1" t="n"/>
      <c r="F514" s="1" t="n"/>
      <c r="G514" s="12" t="n"/>
      <c r="H514" s="3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>
      <c r="A515" s="1" t="n"/>
      <c r="C515" s="2" t="n"/>
      <c r="E515" s="1" t="n"/>
      <c r="F515" s="1" t="n"/>
      <c r="G515" s="12" t="n"/>
      <c r="H515" s="3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>
      <c r="A516" s="1" t="n"/>
      <c r="C516" s="2" t="n"/>
      <c r="E516" s="1" t="n"/>
      <c r="F516" s="1" t="n"/>
      <c r="G516" s="12" t="n"/>
      <c r="H516" s="3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>
      <c r="A517" s="1" t="n"/>
      <c r="C517" s="2" t="n"/>
      <c r="E517" s="1" t="n"/>
      <c r="F517" s="1" t="n"/>
      <c r="G517" s="12" t="n"/>
      <c r="H517" s="3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>
      <c r="A518" s="1" t="n"/>
      <c r="C518" s="2" t="n"/>
      <c r="E518" s="1" t="n"/>
      <c r="F518" s="1" t="n"/>
      <c r="G518" s="12" t="n"/>
      <c r="H518" s="3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>
      <c r="A519" s="1" t="n"/>
      <c r="C519" s="2" t="n"/>
      <c r="E519" s="1" t="n"/>
      <c r="F519" s="1" t="n"/>
      <c r="G519" s="12" t="n"/>
      <c r="H519" s="3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>
      <c r="A520" s="1" t="n"/>
      <c r="C520" s="2" t="n"/>
      <c r="E520" s="1" t="n"/>
      <c r="F520" s="1" t="n"/>
      <c r="G520" s="12" t="n"/>
      <c r="H520" s="3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>
      <c r="A521" s="1" t="n"/>
      <c r="C521" s="2" t="n"/>
      <c r="E521" s="1" t="n"/>
      <c r="F521" s="1" t="n"/>
      <c r="G521" s="12" t="n"/>
      <c r="H521" s="3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>
      <c r="A522" s="1" t="n"/>
      <c r="C522" s="2" t="n"/>
      <c r="E522" s="1" t="n"/>
      <c r="F522" s="1" t="n"/>
      <c r="G522" s="12" t="n"/>
      <c r="H522" s="3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>
      <c r="A523" s="1" t="n"/>
      <c r="C523" s="2" t="n"/>
      <c r="E523" s="1" t="n"/>
      <c r="F523" s="1" t="n"/>
      <c r="G523" s="12" t="n"/>
      <c r="H523" s="3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>
      <c r="A524" s="1" t="n"/>
      <c r="C524" s="2" t="n"/>
      <c r="E524" s="1" t="n"/>
      <c r="F524" s="1" t="n"/>
      <c r="G524" s="12" t="n"/>
      <c r="H524" s="3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>
      <c r="A525" s="1" t="n"/>
      <c r="C525" s="2" t="n"/>
      <c r="E525" s="1" t="n"/>
      <c r="F525" s="1" t="n"/>
      <c r="G525" s="12" t="n"/>
      <c r="H525" s="3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>
      <c r="A526" s="1" t="n"/>
      <c r="C526" s="2" t="n"/>
      <c r="E526" s="1" t="n"/>
      <c r="F526" s="1" t="n"/>
      <c r="G526" s="12" t="n"/>
      <c r="H526" s="3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>
      <c r="A527" s="1" t="n"/>
      <c r="C527" s="2" t="n"/>
      <c r="E527" s="1" t="n"/>
      <c r="F527" s="1" t="n"/>
      <c r="G527" s="12" t="n"/>
      <c r="H527" s="3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>
      <c r="A528" s="1" t="n"/>
      <c r="C528" s="2" t="n"/>
      <c r="E528" s="1" t="n"/>
      <c r="F528" s="1" t="n"/>
      <c r="G528" s="12" t="n"/>
      <c r="H528" s="3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>
      <c r="A529" s="1" t="n"/>
      <c r="C529" s="2" t="n"/>
      <c r="E529" s="1" t="n"/>
      <c r="F529" s="1" t="n"/>
      <c r="G529" s="12" t="n"/>
      <c r="H529" s="3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>
      <c r="A530" s="1" t="n"/>
      <c r="C530" s="2" t="n"/>
      <c r="E530" s="1" t="n"/>
      <c r="F530" s="1" t="n"/>
      <c r="G530" s="12" t="n"/>
      <c r="H530" s="3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>
      <c r="A531" s="1" t="n"/>
      <c r="C531" s="2" t="n"/>
      <c r="E531" s="1" t="n"/>
      <c r="F531" s="1" t="n"/>
      <c r="G531" s="12" t="n"/>
      <c r="H531" s="3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>
      <c r="A532" s="1" t="n"/>
      <c r="C532" s="2" t="n"/>
      <c r="E532" s="1" t="n"/>
      <c r="F532" s="1" t="n"/>
      <c r="G532" s="12" t="n"/>
      <c r="H532" s="3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>
      <c r="A533" s="1" t="n"/>
      <c r="C533" s="2" t="n"/>
      <c r="E533" s="1" t="n"/>
      <c r="F533" s="1" t="n"/>
      <c r="G533" s="12" t="n"/>
      <c r="H533" s="3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>
      <c r="A534" s="1" t="n"/>
      <c r="C534" s="2" t="n"/>
      <c r="E534" s="1" t="n"/>
      <c r="F534" s="1" t="n"/>
      <c r="G534" s="12" t="n"/>
      <c r="H534" s="3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>
      <c r="A535" s="1" t="n"/>
      <c r="C535" s="2" t="n"/>
      <c r="E535" s="1" t="n"/>
      <c r="F535" s="1" t="n"/>
      <c r="G535" s="12" t="n"/>
      <c r="H535" s="3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>
      <c r="A536" s="1" t="n"/>
      <c r="C536" s="2" t="n"/>
      <c r="E536" s="1" t="n"/>
      <c r="F536" s="1" t="n"/>
      <c r="G536" s="12" t="n"/>
      <c r="H536" s="3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>
      <c r="A537" s="1" t="n"/>
      <c r="C537" s="2" t="n"/>
      <c r="E537" s="1" t="n"/>
      <c r="F537" s="1" t="n"/>
      <c r="G537" s="12" t="n"/>
      <c r="H537" s="3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>
      <c r="A538" s="1" t="n"/>
      <c r="C538" s="2" t="n"/>
      <c r="E538" s="1" t="n"/>
      <c r="F538" s="1" t="n"/>
      <c r="G538" s="12" t="n"/>
      <c r="H538" s="3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>
      <c r="A539" s="1" t="n"/>
      <c r="C539" s="2" t="n"/>
      <c r="E539" s="1" t="n"/>
      <c r="F539" s="1" t="n"/>
      <c r="G539" s="12" t="n"/>
      <c r="H539" s="3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>
      <c r="A540" s="1" t="n"/>
      <c r="C540" s="2" t="n"/>
      <c r="E540" s="1" t="n"/>
      <c r="F540" s="1" t="n"/>
      <c r="G540" s="12" t="n"/>
      <c r="H540" s="3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>
      <c r="A541" s="1" t="n"/>
      <c r="C541" s="2" t="n"/>
      <c r="E541" s="1" t="n"/>
      <c r="F541" s="1" t="n"/>
      <c r="G541" s="12" t="n"/>
      <c r="H541" s="3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>
      <c r="A542" s="1" t="n"/>
      <c r="C542" s="2" t="n"/>
      <c r="E542" s="1" t="n"/>
      <c r="F542" s="1" t="n"/>
      <c r="G542" s="12" t="n"/>
      <c r="H542" s="3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>
      <c r="A543" s="1" t="n"/>
      <c r="C543" s="2" t="n"/>
      <c r="E543" s="1" t="n"/>
      <c r="F543" s="1" t="n"/>
      <c r="G543" s="12" t="n"/>
      <c r="H543" s="3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>
      <c r="A544" s="1" t="n"/>
      <c r="C544" s="2" t="n"/>
      <c r="E544" s="1" t="n"/>
      <c r="F544" s="1" t="n"/>
      <c r="G544" s="12" t="n"/>
      <c r="H544" s="3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>
      <c r="A545" s="1" t="n"/>
      <c r="C545" s="2" t="n"/>
      <c r="E545" s="1" t="n"/>
      <c r="F545" s="1" t="n"/>
      <c r="G545" s="12" t="n"/>
      <c r="H545" s="3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>
      <c r="A546" s="1" t="n"/>
      <c r="C546" s="2" t="n"/>
      <c r="E546" s="1" t="n"/>
      <c r="F546" s="1" t="n"/>
      <c r="G546" s="12" t="n"/>
      <c r="H546" s="3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>
      <c r="A547" s="1" t="n"/>
      <c r="C547" s="2" t="n"/>
      <c r="E547" s="1" t="n"/>
      <c r="F547" s="1" t="n"/>
      <c r="G547" s="12" t="n"/>
      <c r="H547" s="3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>
      <c r="A548" s="1" t="n"/>
      <c r="C548" s="2" t="n"/>
      <c r="E548" s="1" t="n"/>
      <c r="F548" s="1" t="n"/>
      <c r="G548" s="12" t="n"/>
      <c r="H548" s="3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>
      <c r="A549" s="1" t="n"/>
      <c r="C549" s="2" t="n"/>
      <c r="E549" s="1" t="n"/>
      <c r="F549" s="1" t="n"/>
      <c r="G549" s="12" t="n"/>
      <c r="H549" s="3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>
      <c r="A550" s="1" t="n"/>
      <c r="C550" s="2" t="n"/>
      <c r="E550" s="1" t="n"/>
      <c r="F550" s="1" t="n"/>
      <c r="G550" s="12" t="n"/>
      <c r="H550" s="3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>
      <c r="A551" s="1" t="n"/>
      <c r="C551" s="2" t="n"/>
      <c r="E551" s="1" t="n"/>
      <c r="F551" s="1" t="n"/>
      <c r="G551" s="12" t="n"/>
      <c r="H551" s="3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>
      <c r="A552" s="1" t="n"/>
      <c r="C552" s="2" t="n"/>
      <c r="E552" s="1" t="n"/>
      <c r="F552" s="1" t="n"/>
      <c r="G552" s="12" t="n"/>
      <c r="H552" s="3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>
      <c r="A553" s="1" t="n"/>
      <c r="C553" s="2" t="n"/>
      <c r="E553" s="1" t="n"/>
      <c r="F553" s="1" t="n"/>
      <c r="G553" s="12" t="n"/>
      <c r="H553" s="3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>
      <c r="A554" s="1" t="n"/>
      <c r="C554" s="2" t="n"/>
      <c r="E554" s="1" t="n"/>
      <c r="F554" s="1" t="n"/>
      <c r="G554" s="12" t="n"/>
      <c r="H554" s="3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>
      <c r="A555" s="1" t="n"/>
      <c r="C555" s="2" t="n"/>
      <c r="E555" s="1" t="n"/>
      <c r="F555" s="1" t="n"/>
      <c r="G555" s="12" t="n"/>
      <c r="H555" s="3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>
      <c r="A556" s="1" t="n"/>
      <c r="C556" s="2" t="n"/>
      <c r="E556" s="1" t="n"/>
      <c r="F556" s="1" t="n"/>
      <c r="G556" s="12" t="n"/>
      <c r="H556" s="3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>
      <c r="A557" s="1" t="n"/>
      <c r="C557" s="2" t="n"/>
      <c r="E557" s="1" t="n"/>
      <c r="F557" s="1" t="n"/>
      <c r="G557" s="12" t="n"/>
      <c r="H557" s="3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>
      <c r="A558" s="1" t="n"/>
      <c r="C558" s="2" t="n"/>
      <c r="E558" s="1" t="n"/>
      <c r="F558" s="1" t="n"/>
      <c r="G558" s="12" t="n"/>
      <c r="H558" s="3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>
      <c r="A559" s="1" t="n"/>
      <c r="C559" s="2" t="n"/>
      <c r="E559" s="1" t="n"/>
      <c r="F559" s="1" t="n"/>
      <c r="G559" s="12" t="n"/>
      <c r="H559" s="3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>
      <c r="A560" s="1" t="n"/>
      <c r="C560" s="2" t="n"/>
      <c r="E560" s="1" t="n"/>
      <c r="F560" s="1" t="n"/>
      <c r="G560" s="12" t="n"/>
      <c r="H560" s="3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>
      <c r="A561" s="1" t="n"/>
      <c r="C561" s="2" t="n"/>
      <c r="E561" s="1" t="n"/>
      <c r="F561" s="1" t="n"/>
      <c r="G561" s="12" t="n"/>
      <c r="H561" s="3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>
      <c r="A562" s="1" t="n"/>
      <c r="C562" s="2" t="n"/>
      <c r="E562" s="1" t="n"/>
      <c r="F562" s="1" t="n"/>
      <c r="G562" s="12" t="n"/>
      <c r="H562" s="3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>
      <c r="A563" s="1" t="n"/>
      <c r="C563" s="2" t="n"/>
      <c r="E563" s="1" t="n"/>
      <c r="F563" s="1" t="n"/>
      <c r="G563" s="12" t="n"/>
      <c r="H563" s="3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>
      <c r="A564" s="1" t="n"/>
      <c r="C564" s="2" t="n"/>
      <c r="E564" s="1" t="n"/>
      <c r="F564" s="1" t="n"/>
      <c r="G564" s="12" t="n"/>
      <c r="H564" s="3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>
      <c r="A565" s="1" t="n"/>
      <c r="C565" s="2" t="n"/>
      <c r="E565" s="1" t="n"/>
      <c r="F565" s="1" t="n"/>
      <c r="G565" s="12" t="n"/>
      <c r="H565" s="3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>
      <c r="A566" s="1" t="n"/>
      <c r="C566" s="2" t="n"/>
      <c r="E566" s="1" t="n"/>
      <c r="F566" s="1" t="n"/>
      <c r="G566" s="12" t="n"/>
      <c r="H566" s="3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>
      <c r="A567" s="1" t="n"/>
      <c r="C567" s="2" t="n"/>
      <c r="E567" s="1" t="n"/>
      <c r="F567" s="1" t="n"/>
      <c r="G567" s="12" t="n"/>
      <c r="H567" s="3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>
      <c r="A568" s="1" t="n"/>
      <c r="C568" s="2" t="n"/>
      <c r="E568" s="1" t="n"/>
      <c r="F568" s="1" t="n"/>
      <c r="G568" s="12" t="n"/>
      <c r="H568" s="3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>
      <c r="A569" s="1" t="n"/>
      <c r="C569" s="2" t="n"/>
      <c r="E569" s="1" t="n"/>
      <c r="F569" s="1" t="n"/>
      <c r="G569" s="12" t="n"/>
      <c r="H569" s="3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>
      <c r="A570" s="1" t="n"/>
      <c r="C570" s="2" t="n"/>
      <c r="E570" s="1" t="n"/>
      <c r="F570" s="1" t="n"/>
      <c r="G570" s="12" t="n"/>
      <c r="H570" s="3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>
      <c r="A571" s="1" t="n"/>
      <c r="C571" s="2" t="n"/>
      <c r="E571" s="1" t="n"/>
      <c r="F571" s="1" t="n"/>
      <c r="G571" s="12" t="n"/>
      <c r="H571" s="3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>
      <c r="A572" s="1" t="n"/>
      <c r="C572" s="2" t="n"/>
      <c r="E572" s="1" t="n"/>
      <c r="F572" s="1" t="n"/>
      <c r="G572" s="12" t="n"/>
      <c r="H572" s="3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>
      <c r="A573" s="1" t="n"/>
      <c r="C573" s="2" t="n"/>
      <c r="E573" s="1" t="n"/>
      <c r="F573" s="1" t="n"/>
      <c r="G573" s="12" t="n"/>
      <c r="H573" s="3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>
      <c r="A574" s="1" t="n"/>
      <c r="C574" s="2" t="n"/>
      <c r="E574" s="1" t="n"/>
      <c r="F574" s="1" t="n"/>
      <c r="G574" s="12" t="n"/>
      <c r="H574" s="3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>
      <c r="A575" s="1" t="n"/>
      <c r="C575" s="2" t="n"/>
      <c r="E575" s="1" t="n"/>
      <c r="F575" s="1" t="n"/>
      <c r="G575" s="12" t="n"/>
      <c r="H575" s="3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>
      <c r="A576" s="1" t="n"/>
      <c r="C576" s="2" t="n"/>
      <c r="E576" s="1" t="n"/>
      <c r="F576" s="1" t="n"/>
      <c r="G576" s="12" t="n"/>
      <c r="H576" s="3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>
      <c r="A577" s="1" t="n"/>
      <c r="C577" s="2" t="n"/>
      <c r="E577" s="1" t="n"/>
      <c r="F577" s="1" t="n"/>
      <c r="G577" s="12" t="n"/>
      <c r="H577" s="3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>
      <c r="A578" s="1" t="n"/>
      <c r="C578" s="2" t="n"/>
      <c r="E578" s="1" t="n"/>
      <c r="F578" s="1" t="n"/>
      <c r="G578" s="12" t="n"/>
      <c r="H578" s="3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>
      <c r="A579" s="1" t="n"/>
      <c r="C579" s="2" t="n"/>
      <c r="E579" s="1" t="n"/>
      <c r="F579" s="1" t="n"/>
      <c r="G579" s="12" t="n"/>
      <c r="H579" s="3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>
      <c r="A580" s="1" t="n"/>
      <c r="C580" s="2" t="n"/>
      <c r="E580" s="1" t="n"/>
      <c r="F580" s="1" t="n"/>
      <c r="G580" s="12" t="n"/>
      <c r="H580" s="3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>
      <c r="A581" s="1" t="n"/>
      <c r="C581" s="2" t="n"/>
      <c r="E581" s="1" t="n"/>
      <c r="F581" s="1" t="n"/>
      <c r="G581" s="12" t="n"/>
      <c r="H581" s="3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>
      <c r="A582" s="1" t="n"/>
      <c r="C582" s="2" t="n"/>
      <c r="E582" s="1" t="n"/>
      <c r="F582" s="1" t="n"/>
      <c r="G582" s="12" t="n"/>
      <c r="H582" s="3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>
      <c r="A583" s="1" t="n"/>
      <c r="C583" s="2" t="n"/>
      <c r="E583" s="1" t="n"/>
      <c r="F583" s="1" t="n"/>
      <c r="G583" s="12" t="n"/>
      <c r="H583" s="3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>
      <c r="A584" s="1" t="n"/>
      <c r="C584" s="2" t="n"/>
      <c r="E584" s="1" t="n"/>
      <c r="F584" s="1" t="n"/>
      <c r="G584" s="12" t="n"/>
      <c r="H584" s="3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>
      <c r="A585" s="1" t="n"/>
      <c r="C585" s="2" t="n"/>
      <c r="E585" s="1" t="n"/>
      <c r="F585" s="1" t="n"/>
      <c r="G585" s="12" t="n"/>
      <c r="H585" s="3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>
      <c r="A586" s="1" t="n"/>
      <c r="C586" s="2" t="n"/>
      <c r="E586" s="1" t="n"/>
      <c r="F586" s="1" t="n"/>
      <c r="G586" s="12" t="n"/>
      <c r="H586" s="3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>
      <c r="A587" s="1" t="n"/>
      <c r="C587" s="2" t="n"/>
      <c r="E587" s="1" t="n"/>
      <c r="F587" s="1" t="n"/>
      <c r="G587" s="12" t="n"/>
      <c r="H587" s="3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>
      <c r="A588" s="1" t="n"/>
      <c r="C588" s="2" t="n"/>
      <c r="E588" s="1" t="n"/>
      <c r="F588" s="1" t="n"/>
      <c r="G588" s="12" t="n"/>
      <c r="H588" s="3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>
      <c r="A589" s="1" t="n"/>
      <c r="C589" s="2" t="n"/>
      <c r="E589" s="1" t="n"/>
      <c r="F589" s="1" t="n"/>
      <c r="G589" s="12" t="n"/>
      <c r="H589" s="3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>
      <c r="A590" s="1" t="n"/>
      <c r="C590" s="2" t="n"/>
      <c r="E590" s="1" t="n"/>
      <c r="F590" s="1" t="n"/>
      <c r="G590" s="12" t="n"/>
      <c r="H590" s="3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>
      <c r="A591" s="1" t="n"/>
      <c r="C591" s="2" t="n"/>
      <c r="E591" s="1" t="n"/>
      <c r="F591" s="1" t="n"/>
      <c r="G591" s="12" t="n"/>
      <c r="H591" s="3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>
      <c r="A592" s="1" t="n"/>
      <c r="C592" s="2" t="n"/>
      <c r="E592" s="1" t="n"/>
      <c r="F592" s="1" t="n"/>
      <c r="G592" s="12" t="n"/>
      <c r="H592" s="3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>
      <c r="A593" s="1" t="n"/>
      <c r="C593" s="2" t="n"/>
      <c r="E593" s="1" t="n"/>
      <c r="F593" s="1" t="n"/>
      <c r="G593" s="12" t="n"/>
      <c r="H593" s="3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>
      <c r="A594" s="1" t="n"/>
      <c r="C594" s="2" t="n"/>
      <c r="E594" s="1" t="n"/>
      <c r="F594" s="1" t="n"/>
      <c r="G594" s="12" t="n"/>
      <c r="H594" s="3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>
      <c r="A595" s="1" t="n"/>
      <c r="C595" s="2" t="n"/>
      <c r="E595" s="1" t="n"/>
      <c r="F595" s="1" t="n"/>
      <c r="G595" s="12" t="n"/>
      <c r="H595" s="3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>
      <c r="A596" s="1" t="n"/>
      <c r="C596" s="2" t="n"/>
      <c r="E596" s="1" t="n"/>
      <c r="F596" s="1" t="n"/>
      <c r="G596" s="12" t="n"/>
      <c r="H596" s="3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>
      <c r="A597" s="1" t="n"/>
      <c r="C597" s="2" t="n"/>
      <c r="E597" s="1" t="n"/>
      <c r="F597" s="1" t="n"/>
      <c r="G597" s="12" t="n"/>
      <c r="H597" s="3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>
      <c r="A598" s="1" t="n"/>
      <c r="C598" s="2" t="n"/>
      <c r="E598" s="1" t="n"/>
      <c r="F598" s="1" t="n"/>
      <c r="G598" s="12" t="n"/>
      <c r="H598" s="3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>
      <c r="A599" s="1" t="n"/>
      <c r="C599" s="2" t="n"/>
      <c r="E599" s="1" t="n"/>
      <c r="F599" s="1" t="n"/>
      <c r="G599" s="12" t="n"/>
      <c r="H599" s="3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>
      <c r="A600" s="1" t="n"/>
      <c r="C600" s="2" t="n"/>
      <c r="E600" s="1" t="n"/>
      <c r="F600" s="1" t="n"/>
      <c r="G600" s="12" t="n"/>
      <c r="H600" s="3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>
      <c r="A601" s="1" t="n"/>
      <c r="C601" s="2" t="n"/>
      <c r="E601" s="1" t="n"/>
      <c r="F601" s="1" t="n"/>
      <c r="G601" s="12" t="n"/>
      <c r="H601" s="3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>
      <c r="A602" s="1" t="n"/>
      <c r="C602" s="2" t="n"/>
      <c r="E602" s="1" t="n"/>
      <c r="F602" s="1" t="n"/>
      <c r="G602" s="12" t="n"/>
      <c r="H602" s="3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>
      <c r="A603" s="1" t="n"/>
      <c r="C603" s="2" t="n"/>
      <c r="E603" s="1" t="n"/>
      <c r="F603" s="1" t="n"/>
      <c r="G603" s="12" t="n"/>
      <c r="H603" s="3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>
      <c r="A604" s="1" t="n"/>
      <c r="C604" s="2" t="n"/>
      <c r="E604" s="1" t="n"/>
      <c r="F604" s="1" t="n"/>
      <c r="G604" s="12" t="n"/>
      <c r="H604" s="3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>
      <c r="A605" s="1" t="n"/>
      <c r="C605" s="2" t="n"/>
      <c r="E605" s="1" t="n"/>
      <c r="F605" s="1" t="n"/>
      <c r="G605" s="12" t="n"/>
      <c r="H605" s="3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>
      <c r="A606" s="1" t="n"/>
      <c r="C606" s="2" t="n"/>
      <c r="E606" s="1" t="n"/>
      <c r="F606" s="1" t="n"/>
      <c r="G606" s="12" t="n"/>
      <c r="H606" s="3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>
      <c r="A607" s="1" t="n"/>
      <c r="C607" s="2" t="n"/>
      <c r="E607" s="1" t="n"/>
      <c r="F607" s="1" t="n"/>
      <c r="G607" s="12" t="n"/>
      <c r="H607" s="3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>
      <c r="A608" s="1" t="n"/>
      <c r="C608" s="2" t="n"/>
      <c r="E608" s="1" t="n"/>
      <c r="F608" s="1" t="n"/>
      <c r="G608" s="12" t="n"/>
      <c r="H608" s="3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>
      <c r="A609" s="1" t="n"/>
      <c r="C609" s="2" t="n"/>
      <c r="E609" s="1" t="n"/>
      <c r="F609" s="1" t="n"/>
      <c r="G609" s="12" t="n"/>
      <c r="H609" s="3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>
      <c r="A610" s="1" t="n"/>
      <c r="C610" s="2" t="n"/>
      <c r="E610" s="1" t="n"/>
      <c r="F610" s="1" t="n"/>
      <c r="G610" s="12" t="n"/>
      <c r="H610" s="3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>
      <c r="A611" s="1" t="n"/>
      <c r="C611" s="2" t="n"/>
      <c r="E611" s="1" t="n"/>
      <c r="F611" s="1" t="n"/>
      <c r="G611" s="12" t="n"/>
      <c r="H611" s="3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>
      <c r="A612" s="1" t="n"/>
      <c r="C612" s="2" t="n"/>
      <c r="E612" s="1" t="n"/>
      <c r="F612" s="1" t="n"/>
      <c r="G612" s="12" t="n"/>
      <c r="H612" s="3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>
      <c r="A613" s="1" t="n"/>
      <c r="C613" s="2" t="n"/>
      <c r="E613" s="1" t="n"/>
      <c r="F613" s="1" t="n"/>
      <c r="G613" s="12" t="n"/>
      <c r="H613" s="3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>
      <c r="A614" s="1" t="n"/>
      <c r="C614" s="2" t="n"/>
      <c r="E614" s="1" t="n"/>
      <c r="F614" s="1" t="n"/>
      <c r="G614" s="12" t="n"/>
      <c r="H614" s="3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>
      <c r="A615" s="1" t="n"/>
      <c r="C615" s="2" t="n"/>
      <c r="E615" s="1" t="n"/>
      <c r="F615" s="1" t="n"/>
      <c r="G615" s="12" t="n"/>
      <c r="H615" s="3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>
      <c r="A616" s="1" t="n"/>
      <c r="C616" s="2" t="n"/>
      <c r="E616" s="1" t="n"/>
      <c r="F616" s="1" t="n"/>
      <c r="G616" s="12" t="n"/>
      <c r="H616" s="3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>
      <c r="A617" s="1" t="n"/>
      <c r="C617" s="2" t="n"/>
      <c r="E617" s="1" t="n"/>
      <c r="F617" s="1" t="n"/>
      <c r="G617" s="12" t="n"/>
      <c r="H617" s="3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>
      <c r="A618" s="1" t="n"/>
      <c r="C618" s="2" t="n"/>
      <c r="E618" s="1" t="n"/>
      <c r="F618" s="1" t="n"/>
      <c r="G618" s="12" t="n"/>
      <c r="H618" s="3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>
      <c r="A619" s="1" t="n"/>
      <c r="C619" s="2" t="n"/>
      <c r="E619" s="1" t="n"/>
      <c r="F619" s="1" t="n"/>
      <c r="G619" s="12" t="n"/>
      <c r="H619" s="3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>
      <c r="A620" s="1" t="n"/>
      <c r="C620" s="2" t="n"/>
      <c r="E620" s="1" t="n"/>
      <c r="F620" s="1" t="n"/>
      <c r="G620" s="12" t="n"/>
      <c r="H620" s="3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>
      <c r="A621" s="1" t="n"/>
      <c r="C621" s="2" t="n"/>
      <c r="E621" s="1" t="n"/>
      <c r="F621" s="1" t="n"/>
      <c r="G621" s="12" t="n"/>
      <c r="H621" s="3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>
      <c r="A622" s="1" t="n"/>
      <c r="C622" s="2" t="n"/>
      <c r="E622" s="1" t="n"/>
      <c r="F622" s="1" t="n"/>
      <c r="G622" s="12" t="n"/>
      <c r="H622" s="3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>
      <c r="A623" s="1" t="n"/>
      <c r="C623" s="2" t="n"/>
      <c r="E623" s="1" t="n"/>
      <c r="F623" s="1" t="n"/>
      <c r="G623" s="12" t="n"/>
      <c r="H623" s="3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>
      <c r="A624" s="1" t="n"/>
      <c r="C624" s="2" t="n"/>
      <c r="E624" s="1" t="n"/>
      <c r="F624" s="1" t="n"/>
      <c r="G624" s="12" t="n"/>
      <c r="H624" s="3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>
      <c r="A625" s="1" t="n"/>
      <c r="C625" s="2" t="n"/>
      <c r="E625" s="1" t="n"/>
      <c r="F625" s="1" t="n"/>
      <c r="G625" s="12" t="n"/>
      <c r="H625" s="3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>
      <c r="A626" s="1" t="n"/>
      <c r="C626" s="2" t="n"/>
      <c r="E626" s="1" t="n"/>
      <c r="F626" s="1" t="n"/>
      <c r="G626" s="12" t="n"/>
      <c r="H626" s="3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>
      <c r="A627" s="1" t="n"/>
      <c r="C627" s="2" t="n"/>
      <c r="E627" s="1" t="n"/>
      <c r="F627" s="1" t="n"/>
      <c r="G627" s="12" t="n"/>
      <c r="H627" s="3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>
      <c r="A628" s="1" t="n"/>
      <c r="C628" s="2" t="n"/>
      <c r="E628" s="1" t="n"/>
      <c r="F628" s="1" t="n"/>
      <c r="G628" s="12" t="n"/>
      <c r="H628" s="3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>
      <c r="A629" s="1" t="n"/>
      <c r="C629" s="2" t="n"/>
      <c r="E629" s="1" t="n"/>
      <c r="F629" s="1" t="n"/>
      <c r="G629" s="12" t="n"/>
      <c r="H629" s="3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>
      <c r="A630" s="1" t="n"/>
      <c r="C630" s="2" t="n"/>
      <c r="E630" s="1" t="n"/>
      <c r="F630" s="1" t="n"/>
      <c r="G630" s="12" t="n"/>
      <c r="H630" s="3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>
      <c r="A631" s="1" t="n"/>
      <c r="C631" s="2" t="n"/>
      <c r="E631" s="1" t="n"/>
      <c r="F631" s="1" t="n"/>
      <c r="G631" s="12" t="n"/>
      <c r="H631" s="3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>
      <c r="A632" s="1" t="n"/>
      <c r="C632" s="2" t="n"/>
      <c r="E632" s="1" t="n"/>
      <c r="F632" s="1" t="n"/>
      <c r="G632" s="12" t="n"/>
      <c r="H632" s="3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>
      <c r="A633" s="1" t="n"/>
      <c r="C633" s="2" t="n"/>
      <c r="E633" s="1" t="n"/>
      <c r="F633" s="1" t="n"/>
      <c r="G633" s="12" t="n"/>
      <c r="H633" s="3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>
      <c r="A634" s="1" t="n"/>
      <c r="C634" s="2" t="n"/>
      <c r="E634" s="1" t="n"/>
      <c r="F634" s="1" t="n"/>
      <c r="G634" s="12" t="n"/>
      <c r="H634" s="3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>
      <c r="A635" s="1" t="n"/>
      <c r="C635" s="2" t="n"/>
      <c r="E635" s="1" t="n"/>
      <c r="F635" s="1" t="n"/>
      <c r="G635" s="12" t="n"/>
      <c r="H635" s="3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>
      <c r="A636" s="1" t="n"/>
      <c r="C636" s="2" t="n"/>
      <c r="E636" s="1" t="n"/>
      <c r="F636" s="1" t="n"/>
      <c r="G636" s="12" t="n"/>
      <c r="H636" s="3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>
      <c r="A637" s="1" t="n"/>
      <c r="C637" s="2" t="n"/>
      <c r="E637" s="1" t="n"/>
      <c r="F637" s="1" t="n"/>
      <c r="G637" s="12" t="n"/>
      <c r="H637" s="3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>
      <c r="A638" s="1" t="n"/>
      <c r="C638" s="2" t="n"/>
      <c r="E638" s="1" t="n"/>
      <c r="F638" s="1" t="n"/>
      <c r="G638" s="12" t="n"/>
      <c r="H638" s="3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>
      <c r="A639" s="1" t="n"/>
      <c r="C639" s="2" t="n"/>
      <c r="E639" s="1" t="n"/>
      <c r="F639" s="1" t="n"/>
      <c r="G639" s="12" t="n"/>
      <c r="H639" s="3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>
      <c r="A640" s="1" t="n"/>
      <c r="C640" s="2" t="n"/>
      <c r="E640" s="1" t="n"/>
      <c r="F640" s="1" t="n"/>
      <c r="G640" s="12" t="n"/>
      <c r="H640" s="3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>
      <c r="A641" s="1" t="n"/>
      <c r="C641" s="2" t="n"/>
      <c r="E641" s="1" t="n"/>
      <c r="F641" s="1" t="n"/>
      <c r="G641" s="12" t="n"/>
      <c r="H641" s="3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>
      <c r="A642" s="1" t="n"/>
      <c r="C642" s="2" t="n"/>
      <c r="E642" s="1" t="n"/>
      <c r="F642" s="1" t="n"/>
      <c r="G642" s="12" t="n"/>
      <c r="H642" s="3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>
      <c r="A643" s="1" t="n"/>
      <c r="C643" s="2" t="n"/>
      <c r="E643" s="1" t="n"/>
      <c r="F643" s="1" t="n"/>
      <c r="G643" s="12" t="n"/>
      <c r="H643" s="3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>
      <c r="A644" s="1" t="n"/>
      <c r="C644" s="2" t="n"/>
      <c r="E644" s="1" t="n"/>
      <c r="F644" s="1" t="n"/>
      <c r="G644" s="12" t="n"/>
      <c r="H644" s="3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>
      <c r="A645" s="1" t="n"/>
      <c r="C645" s="2" t="n"/>
      <c r="E645" s="1" t="n"/>
      <c r="F645" s="1" t="n"/>
      <c r="G645" s="12" t="n"/>
      <c r="H645" s="3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>
      <c r="A646" s="1" t="n"/>
      <c r="C646" s="2" t="n"/>
      <c r="E646" s="1" t="n"/>
      <c r="F646" s="1" t="n"/>
      <c r="G646" s="12" t="n"/>
      <c r="H646" s="3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>
      <c r="A647" s="1" t="n"/>
      <c r="C647" s="2" t="n"/>
      <c r="E647" s="1" t="n"/>
      <c r="F647" s="1" t="n"/>
      <c r="G647" s="12" t="n"/>
      <c r="H647" s="3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>
      <c r="A648" s="1" t="n"/>
      <c r="C648" s="2" t="n"/>
      <c r="E648" s="1" t="n"/>
      <c r="F648" s="1" t="n"/>
      <c r="G648" s="12" t="n"/>
      <c r="H648" s="3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>
      <c r="A649" s="1" t="n"/>
      <c r="C649" s="2" t="n"/>
      <c r="E649" s="1" t="n"/>
      <c r="F649" s="1" t="n"/>
      <c r="G649" s="12" t="n"/>
      <c r="H649" s="3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>
      <c r="A650" s="1" t="n"/>
      <c r="C650" s="2" t="n"/>
      <c r="E650" s="1" t="n"/>
      <c r="F650" s="1" t="n"/>
      <c r="G650" s="12" t="n"/>
      <c r="H650" s="3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>
      <c r="A651" s="1" t="n"/>
      <c r="C651" s="2" t="n"/>
      <c r="E651" s="1" t="n"/>
      <c r="F651" s="1" t="n"/>
      <c r="G651" s="12" t="n"/>
      <c r="H651" s="3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>
      <c r="A652" s="1" t="n"/>
      <c r="C652" s="2" t="n"/>
      <c r="E652" s="1" t="n"/>
      <c r="F652" s="1" t="n"/>
      <c r="G652" s="12" t="n"/>
      <c r="H652" s="3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>
      <c r="A653" s="1" t="n"/>
      <c r="C653" s="2" t="n"/>
      <c r="E653" s="1" t="n"/>
      <c r="F653" s="1" t="n"/>
      <c r="G653" s="12" t="n"/>
      <c r="H653" s="3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>
      <c r="A654" s="1" t="n"/>
      <c r="C654" s="2" t="n"/>
      <c r="E654" s="1" t="n"/>
      <c r="F654" s="1" t="n"/>
      <c r="G654" s="12" t="n"/>
      <c r="H654" s="3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>
      <c r="A655" s="1" t="n"/>
      <c r="C655" s="2" t="n"/>
      <c r="E655" s="1" t="n"/>
      <c r="F655" s="1" t="n"/>
      <c r="G655" s="12" t="n"/>
      <c r="H655" s="3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>
      <c r="A656" s="1" t="n"/>
      <c r="C656" s="2" t="n"/>
      <c r="E656" s="1" t="n"/>
      <c r="F656" s="1" t="n"/>
      <c r="G656" s="12" t="n"/>
      <c r="H656" s="3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>
      <c r="A657" s="1" t="n"/>
      <c r="C657" s="2" t="n"/>
      <c r="E657" s="1" t="n"/>
      <c r="F657" s="1" t="n"/>
      <c r="G657" s="12" t="n"/>
      <c r="H657" s="3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>
      <c r="A658" s="1" t="n"/>
      <c r="C658" s="2" t="n"/>
      <c r="E658" s="1" t="n"/>
      <c r="F658" s="1" t="n"/>
      <c r="G658" s="12" t="n"/>
      <c r="H658" s="3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>
      <c r="A659" s="1" t="n"/>
      <c r="C659" s="2" t="n"/>
      <c r="E659" s="1" t="n"/>
      <c r="F659" s="1" t="n"/>
      <c r="G659" s="12" t="n"/>
      <c r="H659" s="3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>
      <c r="A660" s="1" t="n"/>
      <c r="C660" s="2" t="n"/>
      <c r="E660" s="1" t="n"/>
      <c r="F660" s="1" t="n"/>
      <c r="G660" s="12" t="n"/>
      <c r="H660" s="3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>
      <c r="A661" s="1" t="n"/>
      <c r="C661" s="2" t="n"/>
      <c r="E661" s="1" t="n"/>
      <c r="F661" s="1" t="n"/>
      <c r="G661" s="12" t="n"/>
      <c r="H661" s="3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>
      <c r="A662" s="1" t="n"/>
      <c r="C662" s="2" t="n"/>
      <c r="E662" s="1" t="n"/>
      <c r="F662" s="1" t="n"/>
      <c r="G662" s="12" t="n"/>
      <c r="H662" s="3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>
      <c r="A663" s="1" t="n"/>
      <c r="C663" s="2" t="n"/>
      <c r="E663" s="1" t="n"/>
      <c r="F663" s="1" t="n"/>
      <c r="G663" s="12" t="n"/>
      <c r="H663" s="3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>
      <c r="A664" s="1" t="n"/>
      <c r="C664" s="2" t="n"/>
      <c r="E664" s="1" t="n"/>
      <c r="F664" s="1" t="n"/>
      <c r="G664" s="12" t="n"/>
      <c r="H664" s="3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>
      <c r="A665" s="1" t="n"/>
      <c r="C665" s="2" t="n"/>
      <c r="E665" s="1" t="n"/>
      <c r="F665" s="1" t="n"/>
      <c r="G665" s="12" t="n"/>
      <c r="H665" s="3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>
      <c r="A666" s="1" t="n"/>
      <c r="C666" s="2" t="n"/>
      <c r="E666" s="1" t="n"/>
      <c r="F666" s="1" t="n"/>
      <c r="G666" s="12" t="n"/>
      <c r="H666" s="3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>
      <c r="A667" s="1" t="n"/>
      <c r="C667" s="2" t="n"/>
      <c r="E667" s="1" t="n"/>
      <c r="F667" s="1" t="n"/>
      <c r="G667" s="12" t="n"/>
      <c r="H667" s="3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>
      <c r="A668" s="1" t="n"/>
      <c r="C668" s="2" t="n"/>
      <c r="E668" s="1" t="n"/>
      <c r="F668" s="1" t="n"/>
      <c r="G668" s="12" t="n"/>
      <c r="H668" s="3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>
      <c r="A669" s="1" t="n"/>
      <c r="C669" s="2" t="n"/>
      <c r="E669" s="1" t="n"/>
      <c r="F669" s="1" t="n"/>
      <c r="G669" s="12" t="n"/>
      <c r="H669" s="3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>
      <c r="A670" s="1" t="n"/>
      <c r="C670" s="2" t="n"/>
      <c r="E670" s="1" t="n"/>
      <c r="F670" s="1" t="n"/>
      <c r="G670" s="12" t="n"/>
      <c r="H670" s="3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>
      <c r="A671" s="1" t="n"/>
      <c r="C671" s="2" t="n"/>
      <c r="E671" s="1" t="n"/>
      <c r="F671" s="1" t="n"/>
      <c r="G671" s="12" t="n"/>
      <c r="H671" s="3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>
      <c r="A672" s="1" t="n"/>
      <c r="C672" s="2" t="n"/>
      <c r="E672" s="1" t="n"/>
      <c r="F672" s="1" t="n"/>
      <c r="G672" s="12" t="n"/>
      <c r="H672" s="3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>
      <c r="A673" s="1" t="n"/>
      <c r="C673" s="2" t="n"/>
      <c r="E673" s="1" t="n"/>
      <c r="F673" s="1" t="n"/>
      <c r="G673" s="12" t="n"/>
      <c r="H673" s="3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>
      <c r="A674" s="1" t="n"/>
      <c r="C674" s="2" t="n"/>
      <c r="E674" s="1" t="n"/>
      <c r="F674" s="1" t="n"/>
      <c r="G674" s="12" t="n"/>
      <c r="H674" s="3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>
      <c r="A675" s="1" t="n"/>
      <c r="C675" s="2" t="n"/>
      <c r="E675" s="1" t="n"/>
      <c r="F675" s="1" t="n"/>
      <c r="G675" s="12" t="n"/>
      <c r="H675" s="3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>
      <c r="A676" s="1" t="n"/>
      <c r="C676" s="2" t="n"/>
      <c r="E676" s="1" t="n"/>
      <c r="F676" s="1" t="n"/>
      <c r="G676" s="12" t="n"/>
      <c r="H676" s="3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>
      <c r="A677" s="1" t="n"/>
      <c r="C677" s="2" t="n"/>
      <c r="E677" s="1" t="n"/>
      <c r="F677" s="1" t="n"/>
      <c r="G677" s="12" t="n"/>
      <c r="H677" s="3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>
      <c r="A678" s="1" t="n"/>
      <c r="C678" s="2" t="n"/>
      <c r="E678" s="1" t="n"/>
      <c r="F678" s="1" t="n"/>
      <c r="G678" s="12" t="n"/>
      <c r="H678" s="3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>
      <c r="A679" s="1" t="n"/>
      <c r="C679" s="2" t="n"/>
      <c r="E679" s="1" t="n"/>
      <c r="F679" s="1" t="n"/>
      <c r="G679" s="12" t="n"/>
      <c r="H679" s="3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>
      <c r="A680" s="1" t="n"/>
      <c r="C680" s="2" t="n"/>
      <c r="E680" s="1" t="n"/>
      <c r="F680" s="1" t="n"/>
      <c r="G680" s="12" t="n"/>
      <c r="H680" s="3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>
      <c r="A681" s="1" t="n"/>
      <c r="C681" s="2" t="n"/>
      <c r="E681" s="1" t="n"/>
      <c r="F681" s="1" t="n"/>
      <c r="G681" s="12" t="n"/>
      <c r="H681" s="3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>
      <c r="A682" s="1" t="n"/>
      <c r="C682" s="2" t="n"/>
      <c r="E682" s="1" t="n"/>
      <c r="F682" s="1" t="n"/>
      <c r="G682" s="12" t="n"/>
      <c r="H682" s="3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>
      <c r="A683" s="1" t="n"/>
      <c r="C683" s="2" t="n"/>
      <c r="E683" s="1" t="n"/>
      <c r="F683" s="1" t="n"/>
      <c r="G683" s="12" t="n"/>
      <c r="H683" s="3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>
      <c r="A684" s="1" t="n"/>
      <c r="C684" s="2" t="n"/>
      <c r="E684" s="1" t="n"/>
      <c r="F684" s="1" t="n"/>
      <c r="G684" s="12" t="n"/>
      <c r="H684" s="3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>
      <c r="A685" s="1" t="n"/>
      <c r="C685" s="2" t="n"/>
      <c r="E685" s="1" t="n"/>
      <c r="F685" s="1" t="n"/>
      <c r="G685" s="12" t="n"/>
      <c r="H685" s="3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>
      <c r="A686" s="1" t="n"/>
      <c r="C686" s="2" t="n"/>
      <c r="E686" s="1" t="n"/>
      <c r="F686" s="1" t="n"/>
      <c r="G686" s="12" t="n"/>
      <c r="H686" s="3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>
      <c r="A687" s="1" t="n"/>
      <c r="C687" s="2" t="n"/>
      <c r="E687" s="1" t="n"/>
      <c r="F687" s="1" t="n"/>
      <c r="G687" s="12" t="n"/>
      <c r="H687" s="3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>
      <c r="A688" s="1" t="n"/>
      <c r="C688" s="2" t="n"/>
      <c r="E688" s="1" t="n"/>
      <c r="F688" s="1" t="n"/>
      <c r="G688" s="12" t="n"/>
      <c r="H688" s="3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>
      <c r="A689" s="1" t="n"/>
      <c r="C689" s="2" t="n"/>
      <c r="E689" s="1" t="n"/>
      <c r="F689" s="1" t="n"/>
      <c r="G689" s="12" t="n"/>
      <c r="H689" s="3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>
      <c r="A690" s="1" t="n"/>
      <c r="C690" s="2" t="n"/>
      <c r="E690" s="1" t="n"/>
      <c r="F690" s="1" t="n"/>
      <c r="G690" s="12" t="n"/>
      <c r="H690" s="3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>
      <c r="A691" s="1" t="n"/>
      <c r="C691" s="2" t="n"/>
      <c r="E691" s="1" t="n"/>
      <c r="F691" s="1" t="n"/>
      <c r="G691" s="12" t="n"/>
      <c r="H691" s="3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>
      <c r="A692" s="1" t="n"/>
      <c r="C692" s="2" t="n"/>
      <c r="E692" s="1" t="n"/>
      <c r="F692" s="1" t="n"/>
      <c r="G692" s="12" t="n"/>
      <c r="H692" s="3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>
      <c r="A693" s="1" t="n"/>
      <c r="C693" s="2" t="n"/>
      <c r="E693" s="1" t="n"/>
      <c r="F693" s="1" t="n"/>
      <c r="G693" s="12" t="n"/>
      <c r="H693" s="3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>
      <c r="A694" s="1" t="n"/>
      <c r="C694" s="2" t="n"/>
      <c r="E694" s="1" t="n"/>
      <c r="F694" s="1" t="n"/>
      <c r="G694" s="12" t="n"/>
      <c r="H694" s="3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>
      <c r="A695" s="1" t="n"/>
      <c r="C695" s="2" t="n"/>
      <c r="E695" s="1" t="n"/>
      <c r="F695" s="1" t="n"/>
      <c r="G695" s="12" t="n"/>
      <c r="H695" s="3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>
      <c r="A696" s="1" t="n"/>
      <c r="C696" s="2" t="n"/>
      <c r="E696" s="1" t="n"/>
      <c r="F696" s="1" t="n"/>
      <c r="G696" s="12" t="n"/>
      <c r="H696" s="3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>
      <c r="A697" s="1" t="n"/>
      <c r="C697" s="2" t="n"/>
      <c r="E697" s="1" t="n"/>
      <c r="F697" s="1" t="n"/>
      <c r="G697" s="12" t="n"/>
      <c r="H697" s="3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>
      <c r="A698" s="1" t="n"/>
      <c r="C698" s="2" t="n"/>
      <c r="E698" s="1" t="n"/>
      <c r="F698" s="1" t="n"/>
      <c r="G698" s="12" t="n"/>
      <c r="H698" s="3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>
      <c r="A699" s="1" t="n"/>
      <c r="C699" s="2" t="n"/>
      <c r="E699" s="1" t="n"/>
      <c r="F699" s="1" t="n"/>
      <c r="G699" s="12" t="n"/>
      <c r="H699" s="3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>
      <c r="A700" s="1" t="n"/>
      <c r="C700" s="2" t="n"/>
      <c r="E700" s="1" t="n"/>
      <c r="F700" s="1" t="n"/>
      <c r="G700" s="12" t="n"/>
      <c r="H700" s="3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>
      <c r="A701" s="1" t="n"/>
      <c r="C701" s="2" t="n"/>
      <c r="E701" s="1" t="n"/>
      <c r="F701" s="1" t="n"/>
      <c r="G701" s="12" t="n"/>
      <c r="H701" s="3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>
      <c r="A702" s="1" t="n"/>
      <c r="C702" s="2" t="n"/>
      <c r="E702" s="1" t="n"/>
      <c r="F702" s="1" t="n"/>
      <c r="G702" s="12" t="n"/>
      <c r="H702" s="3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>
      <c r="A703" s="1" t="n"/>
      <c r="C703" s="2" t="n"/>
      <c r="E703" s="1" t="n"/>
      <c r="F703" s="1" t="n"/>
      <c r="G703" s="12" t="n"/>
      <c r="H703" s="3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>
      <c r="A704" s="1" t="n"/>
      <c r="C704" s="2" t="n"/>
      <c r="E704" s="1" t="n"/>
      <c r="F704" s="1" t="n"/>
      <c r="G704" s="12" t="n"/>
      <c r="H704" s="3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>
      <c r="A705" s="1" t="n"/>
      <c r="C705" s="2" t="n"/>
      <c r="E705" s="1" t="n"/>
      <c r="F705" s="1" t="n"/>
      <c r="G705" s="12" t="n"/>
      <c r="H705" s="3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>
      <c r="A706" s="1" t="n"/>
      <c r="C706" s="2" t="n"/>
      <c r="E706" s="1" t="n"/>
      <c r="F706" s="1" t="n"/>
      <c r="G706" s="12" t="n"/>
      <c r="H706" s="3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>
      <c r="A707" s="1" t="n"/>
      <c r="C707" s="2" t="n"/>
      <c r="E707" s="1" t="n"/>
      <c r="F707" s="1" t="n"/>
      <c r="G707" s="12" t="n"/>
      <c r="H707" s="3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>
      <c r="A708" s="1" t="n"/>
      <c r="C708" s="2" t="n"/>
      <c r="E708" s="1" t="n"/>
      <c r="F708" s="1" t="n"/>
      <c r="G708" s="12" t="n"/>
      <c r="H708" s="3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>
      <c r="A709" s="1" t="n"/>
      <c r="C709" s="2" t="n"/>
      <c r="E709" s="1" t="n"/>
      <c r="F709" s="1" t="n"/>
      <c r="G709" s="12" t="n"/>
      <c r="H709" s="3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>
      <c r="A710" s="1" t="n"/>
      <c r="C710" s="2" t="n"/>
      <c r="E710" s="1" t="n"/>
      <c r="F710" s="1" t="n"/>
      <c r="G710" s="12" t="n"/>
      <c r="H710" s="3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>
      <c r="A711" s="1" t="n"/>
      <c r="C711" s="2" t="n"/>
      <c r="E711" s="1" t="n"/>
      <c r="F711" s="1" t="n"/>
      <c r="G711" s="12" t="n"/>
      <c r="H711" s="3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>
      <c r="A712" s="1" t="n"/>
      <c r="C712" s="2" t="n"/>
      <c r="E712" s="1" t="n"/>
      <c r="F712" s="1" t="n"/>
      <c r="G712" s="12" t="n"/>
      <c r="H712" s="3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>
      <c r="A713" s="1" t="n"/>
      <c r="C713" s="2" t="n"/>
      <c r="E713" s="1" t="n"/>
      <c r="F713" s="1" t="n"/>
      <c r="G713" s="12" t="n"/>
      <c r="H713" s="3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>
      <c r="A714" s="1" t="n"/>
      <c r="C714" s="2" t="n"/>
      <c r="E714" s="1" t="n"/>
      <c r="F714" s="1" t="n"/>
      <c r="G714" s="12" t="n"/>
      <c r="H714" s="3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>
      <c r="A715" s="1" t="n"/>
      <c r="C715" s="2" t="n"/>
      <c r="E715" s="1" t="n"/>
      <c r="F715" s="1" t="n"/>
      <c r="G715" s="12" t="n"/>
      <c r="H715" s="3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>
      <c r="A716" s="1" t="n"/>
      <c r="C716" s="2" t="n"/>
      <c r="E716" s="1" t="n"/>
      <c r="F716" s="1" t="n"/>
      <c r="G716" s="12" t="n"/>
      <c r="H716" s="3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>
      <c r="A717" s="1" t="n"/>
      <c r="C717" s="2" t="n"/>
      <c r="E717" s="1" t="n"/>
      <c r="F717" s="1" t="n"/>
      <c r="G717" s="12" t="n"/>
      <c r="H717" s="3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>
      <c r="A718" s="1" t="n"/>
      <c r="C718" s="2" t="n"/>
      <c r="E718" s="1" t="n"/>
      <c r="F718" s="1" t="n"/>
      <c r="G718" s="12" t="n"/>
      <c r="H718" s="3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>
      <c r="A719" s="1" t="n"/>
      <c r="C719" s="2" t="n"/>
      <c r="E719" s="1" t="n"/>
      <c r="F719" s="1" t="n"/>
      <c r="G719" s="12" t="n"/>
      <c r="H719" s="3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>
      <c r="A720" s="1" t="n"/>
      <c r="C720" s="2" t="n"/>
      <c r="E720" s="1" t="n"/>
      <c r="F720" s="1" t="n"/>
      <c r="G720" s="12" t="n"/>
      <c r="H720" s="3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>
      <c r="A721" s="1" t="n"/>
      <c r="C721" s="2" t="n"/>
      <c r="E721" s="1" t="n"/>
      <c r="F721" s="1" t="n"/>
      <c r="G721" s="12" t="n"/>
      <c r="H721" s="3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>
      <c r="A722" s="1" t="n"/>
      <c r="C722" s="2" t="n"/>
      <c r="E722" s="1" t="n"/>
      <c r="F722" s="1" t="n"/>
      <c r="G722" s="12" t="n"/>
      <c r="H722" s="3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>
      <c r="A723" s="1" t="n"/>
      <c r="C723" s="2" t="n"/>
      <c r="E723" s="1" t="n"/>
      <c r="F723" s="1" t="n"/>
      <c r="G723" s="12" t="n"/>
      <c r="H723" s="3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>
      <c r="A724" s="1" t="n"/>
      <c r="C724" s="2" t="n"/>
      <c r="E724" s="1" t="n"/>
      <c r="F724" s="1" t="n"/>
      <c r="G724" s="12" t="n"/>
      <c r="H724" s="3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>
      <c r="A725" s="1" t="n"/>
      <c r="C725" s="2" t="n"/>
      <c r="E725" s="1" t="n"/>
      <c r="F725" s="1" t="n"/>
      <c r="G725" s="12" t="n"/>
      <c r="H725" s="3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>
      <c r="A726" s="1" t="n"/>
      <c r="C726" s="2" t="n"/>
      <c r="E726" s="1" t="n"/>
      <c r="F726" s="1" t="n"/>
      <c r="G726" s="12" t="n"/>
      <c r="H726" s="3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>
      <c r="A727" s="1" t="n"/>
      <c r="C727" s="2" t="n"/>
      <c r="E727" s="1" t="n"/>
      <c r="F727" s="1" t="n"/>
      <c r="G727" s="12" t="n"/>
      <c r="H727" s="3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>
      <c r="A728" s="1" t="n"/>
      <c r="C728" s="2" t="n"/>
      <c r="E728" s="1" t="n"/>
      <c r="F728" s="1" t="n"/>
      <c r="G728" s="12" t="n"/>
      <c r="H728" s="3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>
      <c r="A729" s="1" t="n"/>
      <c r="C729" s="2" t="n"/>
      <c r="E729" s="1" t="n"/>
      <c r="F729" s="1" t="n"/>
      <c r="G729" s="12" t="n"/>
      <c r="H729" s="3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>
      <c r="A730" s="1" t="n"/>
      <c r="C730" s="2" t="n"/>
      <c r="E730" s="1" t="n"/>
      <c r="F730" s="1" t="n"/>
      <c r="G730" s="12" t="n"/>
      <c r="H730" s="3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>
      <c r="A731" s="1" t="n"/>
      <c r="C731" s="2" t="n"/>
      <c r="E731" s="1" t="n"/>
      <c r="F731" s="1" t="n"/>
      <c r="G731" s="12" t="n"/>
      <c r="H731" s="3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>
      <c r="A732" s="1" t="n"/>
      <c r="C732" s="2" t="n"/>
      <c r="E732" s="1" t="n"/>
      <c r="F732" s="1" t="n"/>
      <c r="G732" s="12" t="n"/>
      <c r="H732" s="3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>
      <c r="A733" s="1" t="n"/>
      <c r="C733" s="2" t="n"/>
      <c r="E733" s="1" t="n"/>
      <c r="F733" s="1" t="n"/>
      <c r="G733" s="12" t="n"/>
      <c r="H733" s="3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>
      <c r="A734" s="1" t="n"/>
      <c r="C734" s="2" t="n"/>
      <c r="E734" s="1" t="n"/>
      <c r="F734" s="1" t="n"/>
      <c r="G734" s="12" t="n"/>
      <c r="H734" s="3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>
      <c r="A735" s="1" t="n"/>
      <c r="C735" s="2" t="n"/>
      <c r="E735" s="1" t="n"/>
      <c r="F735" s="1" t="n"/>
      <c r="G735" s="12" t="n"/>
      <c r="H735" s="3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>
      <c r="A736" s="1" t="n"/>
      <c r="C736" s="2" t="n"/>
      <c r="E736" s="1" t="n"/>
      <c r="F736" s="1" t="n"/>
      <c r="G736" s="12" t="n"/>
      <c r="H736" s="3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>
      <c r="A737" s="1" t="n"/>
      <c r="C737" s="2" t="n"/>
      <c r="E737" s="1" t="n"/>
      <c r="F737" s="1" t="n"/>
      <c r="G737" s="12" t="n"/>
      <c r="H737" s="3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>
      <c r="A738" s="1" t="n"/>
      <c r="C738" s="2" t="n"/>
      <c r="E738" s="1" t="n"/>
      <c r="F738" s="1" t="n"/>
      <c r="G738" s="12" t="n"/>
      <c r="H738" s="3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>
      <c r="A739" s="1" t="n"/>
      <c r="C739" s="2" t="n"/>
      <c r="E739" s="1" t="n"/>
      <c r="F739" s="1" t="n"/>
      <c r="G739" s="12" t="n"/>
      <c r="H739" s="3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>
      <c r="A740" s="1" t="n"/>
      <c r="C740" s="2" t="n"/>
      <c r="E740" s="1" t="n"/>
      <c r="F740" s="1" t="n"/>
      <c r="G740" s="12" t="n"/>
      <c r="H740" s="3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>
      <c r="A741" s="1" t="n"/>
      <c r="C741" s="2" t="n"/>
      <c r="E741" s="1" t="n"/>
      <c r="F741" s="1" t="n"/>
      <c r="G741" s="12" t="n"/>
      <c r="H741" s="3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>
      <c r="A742" s="1" t="n"/>
      <c r="C742" s="2" t="n"/>
      <c r="E742" s="1" t="n"/>
      <c r="F742" s="1" t="n"/>
      <c r="G742" s="12" t="n"/>
      <c r="H742" s="3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>
      <c r="A743" s="1" t="n"/>
      <c r="C743" s="2" t="n"/>
      <c r="E743" s="1" t="n"/>
      <c r="F743" s="1" t="n"/>
      <c r="G743" s="12" t="n"/>
      <c r="H743" s="3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>
      <c r="A744" s="1" t="n"/>
      <c r="C744" s="2" t="n"/>
      <c r="E744" s="1" t="n"/>
      <c r="F744" s="1" t="n"/>
      <c r="G744" s="12" t="n"/>
      <c r="H744" s="3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>
      <c r="A745" s="1" t="n"/>
      <c r="C745" s="2" t="n"/>
      <c r="E745" s="1" t="n"/>
      <c r="F745" s="1" t="n"/>
      <c r="G745" s="12" t="n"/>
      <c r="H745" s="3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>
      <c r="A746" s="1" t="n"/>
      <c r="C746" s="2" t="n"/>
      <c r="E746" s="1" t="n"/>
      <c r="F746" s="1" t="n"/>
      <c r="G746" s="12" t="n"/>
      <c r="H746" s="3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>
      <c r="A747" s="1" t="n"/>
      <c r="C747" s="2" t="n"/>
      <c r="E747" s="1" t="n"/>
      <c r="F747" s="1" t="n"/>
      <c r="G747" s="12" t="n"/>
      <c r="H747" s="3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>
      <c r="A748" s="1" t="n"/>
      <c r="C748" s="2" t="n"/>
      <c r="E748" s="1" t="n"/>
      <c r="F748" s="1" t="n"/>
      <c r="G748" s="12" t="n"/>
      <c r="H748" s="3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>
      <c r="A749" s="1" t="n"/>
      <c r="C749" s="2" t="n"/>
      <c r="E749" s="1" t="n"/>
      <c r="F749" s="1" t="n"/>
      <c r="G749" s="12" t="n"/>
      <c r="H749" s="3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>
      <c r="A750" s="1" t="n"/>
      <c r="C750" s="2" t="n"/>
      <c r="E750" s="1" t="n"/>
      <c r="F750" s="1" t="n"/>
      <c r="G750" s="12" t="n"/>
      <c r="H750" s="3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>
      <c r="A751" s="1" t="n"/>
      <c r="C751" s="2" t="n"/>
      <c r="E751" s="1" t="n"/>
      <c r="F751" s="1" t="n"/>
      <c r="G751" s="12" t="n"/>
      <c r="H751" s="3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>
      <c r="A752" s="1" t="n"/>
      <c r="C752" s="2" t="n"/>
      <c r="E752" s="1" t="n"/>
      <c r="F752" s="1" t="n"/>
      <c r="G752" s="12" t="n"/>
      <c r="H752" s="3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>
      <c r="A753" s="1" t="n"/>
      <c r="C753" s="2" t="n"/>
      <c r="E753" s="1" t="n"/>
      <c r="F753" s="1" t="n"/>
      <c r="G753" s="12" t="n"/>
      <c r="H753" s="3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>
      <c r="A754" s="1" t="n"/>
      <c r="C754" s="2" t="n"/>
      <c r="E754" s="1" t="n"/>
      <c r="F754" s="1" t="n"/>
      <c r="G754" s="12" t="n"/>
      <c r="H754" s="3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>
      <c r="A755" s="1" t="n"/>
      <c r="C755" s="2" t="n"/>
      <c r="E755" s="1" t="n"/>
      <c r="F755" s="1" t="n"/>
      <c r="G755" s="12" t="n"/>
      <c r="H755" s="3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>
      <c r="A756" s="1" t="n"/>
      <c r="C756" s="2" t="n"/>
      <c r="E756" s="1" t="n"/>
      <c r="F756" s="1" t="n"/>
      <c r="G756" s="12" t="n"/>
      <c r="H756" s="3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>
      <c r="A757" s="1" t="n"/>
      <c r="C757" s="2" t="n"/>
      <c r="E757" s="1" t="n"/>
      <c r="F757" s="1" t="n"/>
      <c r="G757" s="12" t="n"/>
      <c r="H757" s="3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>
      <c r="A758" s="1" t="n"/>
      <c r="C758" s="2" t="n"/>
      <c r="E758" s="1" t="n"/>
      <c r="F758" s="1" t="n"/>
      <c r="G758" s="12" t="n"/>
      <c r="H758" s="3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>
      <c r="A759" s="1" t="n"/>
      <c r="C759" s="2" t="n"/>
      <c r="E759" s="1" t="n"/>
      <c r="F759" s="1" t="n"/>
      <c r="G759" s="12" t="n"/>
      <c r="H759" s="3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>
      <c r="A760" s="1" t="n"/>
      <c r="C760" s="2" t="n"/>
      <c r="E760" s="1" t="n"/>
      <c r="F760" s="1" t="n"/>
      <c r="G760" s="12" t="n"/>
      <c r="H760" s="3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>
      <c r="A761" s="1" t="n"/>
      <c r="C761" s="2" t="n"/>
      <c r="E761" s="1" t="n"/>
      <c r="F761" s="1" t="n"/>
      <c r="G761" s="12" t="n"/>
      <c r="H761" s="3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>
      <c r="A762" s="1" t="n"/>
      <c r="C762" s="2" t="n"/>
      <c r="E762" s="1" t="n"/>
      <c r="F762" s="1" t="n"/>
      <c r="G762" s="12" t="n"/>
      <c r="H762" s="3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>
      <c r="A763" s="1" t="n"/>
      <c r="C763" s="2" t="n"/>
      <c r="E763" s="1" t="n"/>
      <c r="F763" s="1" t="n"/>
      <c r="G763" s="12" t="n"/>
      <c r="H763" s="3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>
      <c r="A764" s="1" t="n"/>
      <c r="C764" s="2" t="n"/>
      <c r="E764" s="1" t="n"/>
      <c r="F764" s="1" t="n"/>
      <c r="G764" s="12" t="n"/>
      <c r="H764" s="3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>
      <c r="A765" s="1" t="n"/>
      <c r="C765" s="2" t="n"/>
      <c r="E765" s="1" t="n"/>
      <c r="F765" s="1" t="n"/>
      <c r="G765" s="12" t="n"/>
      <c r="H765" s="3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>
      <c r="A766" s="1" t="n"/>
      <c r="C766" s="2" t="n"/>
      <c r="E766" s="1" t="n"/>
      <c r="F766" s="1" t="n"/>
      <c r="G766" s="12" t="n"/>
      <c r="H766" s="3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>
      <c r="A767" s="1" t="n"/>
      <c r="C767" s="2" t="n"/>
      <c r="E767" s="1" t="n"/>
      <c r="F767" s="1" t="n"/>
      <c r="G767" s="12" t="n"/>
      <c r="H767" s="3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>
      <c r="A768" s="1" t="n"/>
      <c r="C768" s="2" t="n"/>
      <c r="E768" s="1" t="n"/>
      <c r="F768" s="1" t="n"/>
      <c r="G768" s="12" t="n"/>
      <c r="H768" s="3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>
      <c r="A769" s="1" t="n"/>
      <c r="C769" s="2" t="n"/>
      <c r="E769" s="1" t="n"/>
      <c r="F769" s="1" t="n"/>
      <c r="G769" s="12" t="n"/>
      <c r="H769" s="3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>
      <c r="A770" s="1" t="n"/>
      <c r="C770" s="2" t="n"/>
      <c r="E770" s="1" t="n"/>
      <c r="F770" s="1" t="n"/>
      <c r="G770" s="12" t="n"/>
      <c r="H770" s="3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>
      <c r="A771" s="1" t="n"/>
      <c r="C771" s="2" t="n"/>
      <c r="E771" s="1" t="n"/>
      <c r="F771" s="1" t="n"/>
      <c r="G771" s="12" t="n"/>
      <c r="H771" s="3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>
      <c r="A772" s="1" t="n"/>
      <c r="C772" s="2" t="n"/>
      <c r="E772" s="1" t="n"/>
      <c r="F772" s="1" t="n"/>
      <c r="G772" s="12" t="n"/>
      <c r="H772" s="3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>
      <c r="A773" s="1" t="n"/>
      <c r="C773" s="2" t="n"/>
      <c r="E773" s="1" t="n"/>
      <c r="F773" s="1" t="n"/>
      <c r="G773" s="12" t="n"/>
      <c r="H773" s="3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>
      <c r="A774" s="1" t="n"/>
      <c r="C774" s="2" t="n"/>
      <c r="E774" s="1" t="n"/>
      <c r="F774" s="1" t="n"/>
      <c r="G774" s="12" t="n"/>
      <c r="H774" s="3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>
      <c r="A775" s="1" t="n"/>
      <c r="C775" s="2" t="n"/>
      <c r="E775" s="1" t="n"/>
      <c r="F775" s="1" t="n"/>
      <c r="G775" s="12" t="n"/>
      <c r="H775" s="3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>
      <c r="A776" s="1" t="n"/>
      <c r="C776" s="2" t="n"/>
      <c r="E776" s="1" t="n"/>
      <c r="F776" s="1" t="n"/>
      <c r="G776" s="12" t="n"/>
      <c r="H776" s="3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>
      <c r="A777" s="1" t="n"/>
      <c r="C777" s="2" t="n"/>
      <c r="E777" s="1" t="n"/>
      <c r="F777" s="1" t="n"/>
      <c r="G777" s="12" t="n"/>
      <c r="H777" s="3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>
      <c r="A778" s="1" t="n"/>
      <c r="C778" s="2" t="n"/>
      <c r="E778" s="1" t="n"/>
      <c r="F778" s="1" t="n"/>
      <c r="G778" s="12" t="n"/>
      <c r="H778" s="3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>
      <c r="A779" s="1" t="n"/>
      <c r="C779" s="2" t="n"/>
      <c r="E779" s="1" t="n"/>
      <c r="F779" s="1" t="n"/>
      <c r="G779" s="12" t="n"/>
      <c r="H779" s="3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>
      <c r="A780" s="1" t="n"/>
      <c r="C780" s="2" t="n"/>
      <c r="E780" s="1" t="n"/>
      <c r="F780" s="1" t="n"/>
      <c r="G780" s="12" t="n"/>
      <c r="H780" s="3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>
      <c r="A781" s="1" t="n"/>
      <c r="C781" s="2" t="n"/>
      <c r="E781" s="1" t="n"/>
      <c r="F781" s="1" t="n"/>
      <c r="G781" s="12" t="n"/>
      <c r="H781" s="3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>
      <c r="A782" s="1" t="n"/>
      <c r="C782" s="2" t="n"/>
      <c r="E782" s="1" t="n"/>
      <c r="F782" s="1" t="n"/>
      <c r="G782" s="12" t="n"/>
      <c r="H782" s="3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>
      <c r="A783" s="1" t="n"/>
      <c r="C783" s="2" t="n"/>
      <c r="E783" s="1" t="n"/>
      <c r="F783" s="1" t="n"/>
      <c r="G783" s="12" t="n"/>
      <c r="H783" s="3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>
      <c r="A784" s="1" t="n"/>
      <c r="C784" s="2" t="n"/>
      <c r="E784" s="1" t="n"/>
      <c r="F784" s="1" t="n"/>
      <c r="G784" s="12" t="n"/>
      <c r="H784" s="3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>
      <c r="A785" s="1" t="n"/>
      <c r="C785" s="2" t="n"/>
      <c r="E785" s="1" t="n"/>
      <c r="F785" s="1" t="n"/>
      <c r="G785" s="12" t="n"/>
      <c r="H785" s="3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>
      <c r="A786" s="1" t="n"/>
      <c r="C786" s="2" t="n"/>
      <c r="E786" s="1" t="n"/>
      <c r="F786" s="1" t="n"/>
      <c r="G786" s="12" t="n"/>
      <c r="H786" s="3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>
      <c r="A787" s="1" t="n"/>
      <c r="C787" s="2" t="n"/>
      <c r="E787" s="1" t="n"/>
      <c r="F787" s="1" t="n"/>
      <c r="G787" s="12" t="n"/>
      <c r="H787" s="3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>
      <c r="A788" s="1" t="n"/>
      <c r="C788" s="2" t="n"/>
      <c r="E788" s="1" t="n"/>
      <c r="F788" s="1" t="n"/>
      <c r="G788" s="12" t="n"/>
      <c r="H788" s="3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>
      <c r="A789" s="1" t="n"/>
      <c r="C789" s="2" t="n"/>
      <c r="E789" s="1" t="n"/>
      <c r="F789" s="1" t="n"/>
      <c r="G789" s="12" t="n"/>
      <c r="H789" s="3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>
      <c r="A790" s="1" t="n"/>
      <c r="C790" s="2" t="n"/>
      <c r="E790" s="1" t="n"/>
      <c r="F790" s="1" t="n"/>
      <c r="G790" s="12" t="n"/>
      <c r="H790" s="3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>
      <c r="A791" s="1" t="n"/>
      <c r="C791" s="2" t="n"/>
      <c r="E791" s="1" t="n"/>
      <c r="F791" s="1" t="n"/>
      <c r="G791" s="12" t="n"/>
      <c r="H791" s="3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>
      <c r="A792" s="1" t="n"/>
      <c r="C792" s="2" t="n"/>
      <c r="E792" s="1" t="n"/>
      <c r="F792" s="1" t="n"/>
      <c r="G792" s="12" t="n"/>
      <c r="H792" s="3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>
      <c r="A793" s="1" t="n"/>
      <c r="C793" s="2" t="n"/>
      <c r="E793" s="1" t="n"/>
      <c r="F793" s="1" t="n"/>
      <c r="G793" s="12" t="n"/>
      <c r="H793" s="3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>
      <c r="A794" s="1" t="n"/>
      <c r="C794" s="2" t="n"/>
      <c r="E794" s="1" t="n"/>
      <c r="F794" s="1" t="n"/>
      <c r="G794" s="12" t="n"/>
      <c r="H794" s="3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>
      <c r="A795" s="1" t="n"/>
      <c r="C795" s="2" t="n"/>
      <c r="E795" s="1" t="n"/>
      <c r="F795" s="1" t="n"/>
      <c r="G795" s="12" t="n"/>
      <c r="H795" s="3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>
      <c r="A796" s="1" t="n"/>
      <c r="C796" s="2" t="n"/>
      <c r="E796" s="1" t="n"/>
      <c r="F796" s="1" t="n"/>
      <c r="G796" s="12" t="n"/>
      <c r="H796" s="3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>
      <c r="A797" s="1" t="n"/>
      <c r="C797" s="2" t="n"/>
      <c r="E797" s="1" t="n"/>
      <c r="F797" s="1" t="n"/>
      <c r="G797" s="12" t="n"/>
      <c r="H797" s="3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>
      <c r="A798" s="1" t="n"/>
      <c r="C798" s="2" t="n"/>
      <c r="E798" s="1" t="n"/>
      <c r="F798" s="1" t="n"/>
      <c r="G798" s="12" t="n"/>
      <c r="H798" s="3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>
      <c r="A799" s="1" t="n"/>
      <c r="C799" s="2" t="n"/>
      <c r="E799" s="1" t="n"/>
      <c r="F799" s="1" t="n"/>
      <c r="G799" s="12" t="n"/>
      <c r="H799" s="3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>
      <c r="A800" s="1" t="n"/>
      <c r="C800" s="2" t="n"/>
      <c r="E800" s="1" t="n"/>
      <c r="F800" s="1" t="n"/>
      <c r="G800" s="12" t="n"/>
      <c r="H800" s="3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>
      <c r="A801" s="1" t="n"/>
      <c r="C801" s="2" t="n"/>
      <c r="E801" s="1" t="n"/>
      <c r="F801" s="1" t="n"/>
      <c r="G801" s="12" t="n"/>
      <c r="H801" s="3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>
      <c r="A802" s="1" t="n"/>
      <c r="C802" s="2" t="n"/>
      <c r="E802" s="1" t="n"/>
      <c r="F802" s="1" t="n"/>
      <c r="G802" s="12" t="n"/>
      <c r="H802" s="3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>
      <c r="A803" s="1" t="n"/>
      <c r="C803" s="2" t="n"/>
      <c r="E803" s="1" t="n"/>
      <c r="F803" s="1" t="n"/>
      <c r="G803" s="12" t="n"/>
      <c r="H803" s="3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>
      <c r="A804" s="1" t="n"/>
      <c r="C804" s="2" t="n"/>
      <c r="E804" s="1" t="n"/>
      <c r="F804" s="1" t="n"/>
      <c r="G804" s="12" t="n"/>
      <c r="H804" s="3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>
      <c r="A805" s="1" t="n"/>
      <c r="C805" s="2" t="n"/>
      <c r="E805" s="1" t="n"/>
      <c r="F805" s="1" t="n"/>
      <c r="G805" s="12" t="n"/>
      <c r="H805" s="3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>
      <c r="A806" s="1" t="n"/>
      <c r="C806" s="2" t="n"/>
      <c r="E806" s="1" t="n"/>
      <c r="F806" s="1" t="n"/>
      <c r="G806" s="12" t="n"/>
      <c r="H806" s="3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>
      <c r="A807" s="1" t="n"/>
      <c r="C807" s="2" t="n"/>
      <c r="E807" s="1" t="n"/>
      <c r="F807" s="1" t="n"/>
      <c r="G807" s="12" t="n"/>
      <c r="H807" s="3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>
      <c r="A808" s="1" t="n"/>
      <c r="C808" s="2" t="n"/>
      <c r="E808" s="1" t="n"/>
      <c r="F808" s="1" t="n"/>
      <c r="G808" s="12" t="n"/>
      <c r="H808" s="3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>
      <c r="A809" s="1" t="n"/>
      <c r="C809" s="2" t="n"/>
      <c r="E809" s="1" t="n"/>
      <c r="F809" s="1" t="n"/>
      <c r="G809" s="12" t="n"/>
      <c r="H809" s="3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>
      <c r="A810" s="1" t="n"/>
      <c r="C810" s="2" t="n"/>
      <c r="E810" s="1" t="n"/>
      <c r="F810" s="1" t="n"/>
      <c r="G810" s="12" t="n"/>
      <c r="H810" s="3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>
      <c r="A811" s="1" t="n"/>
      <c r="C811" s="2" t="n"/>
      <c r="E811" s="1" t="n"/>
      <c r="F811" s="1" t="n"/>
      <c r="G811" s="12" t="n"/>
      <c r="H811" s="3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>
      <c r="A812" s="1" t="n"/>
      <c r="C812" s="2" t="n"/>
      <c r="E812" s="1" t="n"/>
      <c r="F812" s="1" t="n"/>
      <c r="G812" s="12" t="n"/>
      <c r="H812" s="3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>
      <c r="A813" s="1" t="n"/>
      <c r="C813" s="2" t="n"/>
      <c r="E813" s="1" t="n"/>
      <c r="F813" s="1" t="n"/>
      <c r="G813" s="12" t="n"/>
      <c r="H813" s="3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>
      <c r="A814" s="1" t="n"/>
      <c r="C814" s="2" t="n"/>
      <c r="E814" s="1" t="n"/>
      <c r="F814" s="1" t="n"/>
      <c r="G814" s="12" t="n"/>
      <c r="H814" s="3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>
      <c r="A815" s="1" t="n"/>
      <c r="C815" s="2" t="n"/>
      <c r="E815" s="1" t="n"/>
      <c r="F815" s="1" t="n"/>
      <c r="G815" s="12" t="n"/>
      <c r="H815" s="3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>
      <c r="A816" s="1" t="n"/>
      <c r="C816" s="2" t="n"/>
      <c r="E816" s="1" t="n"/>
      <c r="F816" s="1" t="n"/>
      <c r="G816" s="12" t="n"/>
      <c r="H816" s="3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>
      <c r="A817" s="1" t="n"/>
      <c r="C817" s="2" t="n"/>
      <c r="E817" s="1" t="n"/>
      <c r="F817" s="1" t="n"/>
      <c r="G817" s="12" t="n"/>
      <c r="H817" s="3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>
      <c r="A818" s="1" t="n"/>
      <c r="C818" s="2" t="n"/>
      <c r="E818" s="1" t="n"/>
      <c r="F818" s="1" t="n"/>
      <c r="G818" s="12" t="n"/>
      <c r="H818" s="3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>
      <c r="A819" s="1" t="n"/>
      <c r="C819" s="2" t="n"/>
      <c r="E819" s="1" t="n"/>
      <c r="F819" s="1" t="n"/>
      <c r="G819" s="12" t="n"/>
      <c r="H819" s="3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>
      <c r="A820" s="1" t="n"/>
      <c r="C820" s="2" t="n"/>
      <c r="E820" s="1" t="n"/>
      <c r="F820" s="1" t="n"/>
      <c r="G820" s="12" t="n"/>
      <c r="H820" s="3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>
      <c r="A821" s="1" t="n"/>
      <c r="C821" s="2" t="n"/>
      <c r="E821" s="1" t="n"/>
      <c r="F821" s="1" t="n"/>
      <c r="G821" s="12" t="n"/>
      <c r="H821" s="3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>
      <c r="A822" s="1" t="n"/>
      <c r="C822" s="2" t="n"/>
      <c r="E822" s="1" t="n"/>
      <c r="F822" s="1" t="n"/>
      <c r="G822" s="12" t="n"/>
      <c r="H822" s="3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>
      <c r="A823" s="1" t="n"/>
      <c r="C823" s="2" t="n"/>
      <c r="E823" s="1" t="n"/>
      <c r="F823" s="1" t="n"/>
      <c r="G823" s="12" t="n"/>
      <c r="H823" s="3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>
      <c r="A824" s="1" t="n"/>
      <c r="C824" s="2" t="n"/>
      <c r="E824" s="1" t="n"/>
      <c r="F824" s="1" t="n"/>
      <c r="G824" s="12" t="n"/>
      <c r="H824" s="3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>
      <c r="A825" s="1" t="n"/>
      <c r="C825" s="2" t="n"/>
      <c r="E825" s="1" t="n"/>
      <c r="F825" s="1" t="n"/>
      <c r="G825" s="12" t="n"/>
      <c r="H825" s="3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>
      <c r="A826" s="1" t="n"/>
      <c r="C826" s="2" t="n"/>
      <c r="E826" s="1" t="n"/>
      <c r="F826" s="1" t="n"/>
      <c r="G826" s="12" t="n"/>
      <c r="H826" s="3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>
      <c r="A827" s="1" t="n"/>
      <c r="C827" s="2" t="n"/>
      <c r="E827" s="1" t="n"/>
      <c r="F827" s="1" t="n"/>
      <c r="G827" s="12" t="n"/>
      <c r="H827" s="3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>
      <c r="A828" s="1" t="n"/>
      <c r="C828" s="2" t="n"/>
      <c r="E828" s="1" t="n"/>
      <c r="F828" s="1" t="n"/>
      <c r="G828" s="12" t="n"/>
      <c r="H828" s="3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>
      <c r="A829" s="1" t="n"/>
      <c r="C829" s="2" t="n"/>
      <c r="E829" s="1" t="n"/>
      <c r="F829" s="1" t="n"/>
      <c r="G829" s="12" t="n"/>
      <c r="H829" s="3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>
      <c r="A830" s="1" t="n"/>
      <c r="C830" s="2" t="n"/>
      <c r="E830" s="1" t="n"/>
      <c r="F830" s="1" t="n"/>
      <c r="G830" s="12" t="n"/>
      <c r="H830" s="3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>
      <c r="A831" s="1" t="n"/>
      <c r="C831" s="2" t="n"/>
      <c r="E831" s="1" t="n"/>
      <c r="F831" s="1" t="n"/>
      <c r="G831" s="12" t="n"/>
      <c r="H831" s="3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>
      <c r="A832" s="1" t="n"/>
      <c r="C832" s="2" t="n"/>
      <c r="E832" s="1" t="n"/>
      <c r="F832" s="1" t="n"/>
      <c r="G832" s="12" t="n"/>
      <c r="H832" s="3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>
      <c r="A833" s="1" t="n"/>
      <c r="C833" s="2" t="n"/>
      <c r="E833" s="1" t="n"/>
      <c r="F833" s="1" t="n"/>
      <c r="G833" s="12" t="n"/>
      <c r="H833" s="3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>
      <c r="A834" s="1" t="n"/>
      <c r="C834" s="2" t="n"/>
      <c r="E834" s="1" t="n"/>
      <c r="F834" s="1" t="n"/>
      <c r="G834" s="12" t="n"/>
      <c r="H834" s="3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>
      <c r="A835" s="1" t="n"/>
      <c r="C835" s="2" t="n"/>
      <c r="E835" s="1" t="n"/>
      <c r="F835" s="1" t="n"/>
      <c r="G835" s="12" t="n"/>
      <c r="H835" s="3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>
      <c r="A836" s="1" t="n"/>
      <c r="C836" s="2" t="n"/>
      <c r="E836" s="1" t="n"/>
      <c r="F836" s="1" t="n"/>
      <c r="G836" s="12" t="n"/>
      <c r="H836" s="3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>
      <c r="A837" s="1" t="n"/>
      <c r="C837" s="2" t="n"/>
      <c r="E837" s="1" t="n"/>
      <c r="F837" s="1" t="n"/>
      <c r="G837" s="12" t="n"/>
      <c r="H837" s="3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>
      <c r="A838" s="1" t="n"/>
      <c r="C838" s="2" t="n"/>
      <c r="E838" s="1" t="n"/>
      <c r="F838" s="1" t="n"/>
      <c r="G838" s="12" t="n"/>
      <c r="H838" s="3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>
      <c r="A839" s="1" t="n"/>
      <c r="C839" s="2" t="n"/>
      <c r="E839" s="1" t="n"/>
      <c r="F839" s="1" t="n"/>
      <c r="G839" s="12" t="n"/>
      <c r="H839" s="3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>
      <c r="A840" s="1" t="n"/>
      <c r="C840" s="2" t="n"/>
      <c r="E840" s="1" t="n"/>
      <c r="F840" s="1" t="n"/>
      <c r="G840" s="12" t="n"/>
      <c r="H840" s="3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>
      <c r="A841" s="1" t="n"/>
      <c r="C841" s="2" t="n"/>
      <c r="E841" s="1" t="n"/>
      <c r="F841" s="1" t="n"/>
      <c r="G841" s="12" t="n"/>
      <c r="H841" s="3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>
      <c r="A842" s="1" t="n"/>
      <c r="C842" s="2" t="n"/>
      <c r="E842" s="1" t="n"/>
      <c r="F842" s="1" t="n"/>
      <c r="G842" s="12" t="n"/>
      <c r="H842" s="3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>
      <c r="A843" s="1" t="n"/>
      <c r="C843" s="2" t="n"/>
      <c r="E843" s="1" t="n"/>
      <c r="F843" s="1" t="n"/>
      <c r="G843" s="12" t="n"/>
      <c r="H843" s="3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>
      <c r="A844" s="1" t="n"/>
      <c r="C844" s="2" t="n"/>
      <c r="E844" s="1" t="n"/>
      <c r="F844" s="1" t="n"/>
      <c r="G844" s="12" t="n"/>
      <c r="H844" s="3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>
      <c r="A845" s="1" t="n"/>
      <c r="C845" s="2" t="n"/>
      <c r="E845" s="1" t="n"/>
      <c r="F845" s="1" t="n"/>
      <c r="G845" s="12" t="n"/>
      <c r="H845" s="3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>
      <c r="A846" s="1" t="n"/>
      <c r="C846" s="2" t="n"/>
      <c r="E846" s="1" t="n"/>
      <c r="F846" s="1" t="n"/>
      <c r="G846" s="12" t="n"/>
      <c r="H846" s="3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>
      <c r="A847" s="1" t="n"/>
      <c r="C847" s="2" t="n"/>
      <c r="E847" s="1" t="n"/>
      <c r="F847" s="1" t="n"/>
      <c r="G847" s="12" t="n"/>
      <c r="H847" s="3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>
      <c r="A848" s="1" t="n"/>
      <c r="C848" s="2" t="n"/>
      <c r="E848" s="1" t="n"/>
      <c r="F848" s="1" t="n"/>
      <c r="G848" s="12" t="n"/>
      <c r="H848" s="3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>
      <c r="A849" s="1" t="n"/>
      <c r="C849" s="2" t="n"/>
      <c r="E849" s="1" t="n"/>
      <c r="F849" s="1" t="n"/>
      <c r="G849" s="12" t="n"/>
      <c r="H849" s="3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>
      <c r="A850" s="1" t="n"/>
      <c r="C850" s="2" t="n"/>
      <c r="E850" s="1" t="n"/>
      <c r="F850" s="1" t="n"/>
      <c r="G850" s="12" t="n"/>
      <c r="H850" s="3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>
      <c r="A851" s="1" t="n"/>
      <c r="C851" s="2" t="n"/>
      <c r="E851" s="1" t="n"/>
      <c r="F851" s="1" t="n"/>
      <c r="G851" s="12" t="n"/>
      <c r="H851" s="3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>
      <c r="A852" s="1" t="n"/>
      <c r="C852" s="2" t="n"/>
      <c r="E852" s="1" t="n"/>
      <c r="F852" s="1" t="n"/>
      <c r="G852" s="12" t="n"/>
      <c r="H852" s="3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>
      <c r="A853" s="1" t="n"/>
      <c r="C853" s="2" t="n"/>
      <c r="E853" s="1" t="n"/>
      <c r="F853" s="1" t="n"/>
      <c r="G853" s="12" t="n"/>
      <c r="H853" s="3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>
      <c r="A854" s="1" t="n"/>
      <c r="C854" s="2" t="n"/>
      <c r="E854" s="1" t="n"/>
      <c r="F854" s="1" t="n"/>
      <c r="G854" s="12" t="n"/>
      <c r="H854" s="3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>
      <c r="A855" s="1" t="n"/>
      <c r="C855" s="2" t="n"/>
      <c r="E855" s="1" t="n"/>
      <c r="F855" s="1" t="n"/>
      <c r="G855" s="12" t="n"/>
      <c r="H855" s="3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>
      <c r="A856" s="1" t="n"/>
      <c r="C856" s="2" t="n"/>
      <c r="E856" s="1" t="n"/>
      <c r="F856" s="1" t="n"/>
      <c r="G856" s="12" t="n"/>
      <c r="H856" s="3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>
      <c r="A857" s="1" t="n"/>
      <c r="C857" s="2" t="n"/>
      <c r="E857" s="1" t="n"/>
      <c r="F857" s="1" t="n"/>
      <c r="G857" s="12" t="n"/>
      <c r="H857" s="3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>
      <c r="A858" s="1" t="n"/>
      <c r="C858" s="2" t="n"/>
      <c r="E858" s="1" t="n"/>
      <c r="F858" s="1" t="n"/>
      <c r="G858" s="12" t="n"/>
      <c r="H858" s="3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>
      <c r="A859" s="1" t="n"/>
      <c r="C859" s="2" t="n"/>
      <c r="E859" s="1" t="n"/>
      <c r="F859" s="1" t="n"/>
      <c r="G859" s="12" t="n"/>
      <c r="H859" s="3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>
      <c r="A860" s="1" t="n"/>
      <c r="C860" s="2" t="n"/>
      <c r="E860" s="1" t="n"/>
      <c r="F860" s="1" t="n"/>
      <c r="G860" s="12" t="n"/>
      <c r="H860" s="3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>
      <c r="A861" s="1" t="n"/>
      <c r="C861" s="2" t="n"/>
      <c r="E861" s="1" t="n"/>
      <c r="F861" s="1" t="n"/>
      <c r="G861" s="12" t="n"/>
      <c r="H861" s="3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>
      <c r="A862" s="1" t="n"/>
      <c r="C862" s="2" t="n"/>
      <c r="E862" s="1" t="n"/>
      <c r="F862" s="1" t="n"/>
      <c r="G862" s="12" t="n"/>
      <c r="H862" s="3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>
      <c r="A863" s="1" t="n"/>
      <c r="C863" s="2" t="n"/>
      <c r="E863" s="1" t="n"/>
      <c r="F863" s="1" t="n"/>
      <c r="G863" s="12" t="n"/>
      <c r="H863" s="3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>
      <c r="A864" s="1" t="n"/>
      <c r="C864" s="2" t="n"/>
      <c r="E864" s="1" t="n"/>
      <c r="F864" s="1" t="n"/>
      <c r="G864" s="12" t="n"/>
      <c r="H864" s="3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>
      <c r="A865" s="1" t="n"/>
      <c r="C865" s="2" t="n"/>
      <c r="E865" s="1" t="n"/>
      <c r="F865" s="1" t="n"/>
      <c r="G865" s="12" t="n"/>
      <c r="H865" s="3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>
      <c r="A866" s="1" t="n"/>
      <c r="C866" s="2" t="n"/>
      <c r="E866" s="1" t="n"/>
      <c r="F866" s="1" t="n"/>
      <c r="G866" s="12" t="n"/>
      <c r="H866" s="3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>
      <c r="A867" s="1" t="n"/>
      <c r="C867" s="2" t="n"/>
      <c r="E867" s="1" t="n"/>
      <c r="F867" s="1" t="n"/>
      <c r="G867" s="12" t="n"/>
      <c r="H867" s="3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>
      <c r="A868" s="1" t="n"/>
      <c r="C868" s="2" t="n"/>
      <c r="E868" s="1" t="n"/>
      <c r="F868" s="1" t="n"/>
      <c r="G868" s="12" t="n"/>
      <c r="H868" s="3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>
      <c r="A869" s="1" t="n"/>
      <c r="C869" s="2" t="n"/>
      <c r="E869" s="1" t="n"/>
      <c r="F869" s="1" t="n"/>
      <c r="G869" s="12" t="n"/>
      <c r="H869" s="3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>
      <c r="A870" s="1" t="n"/>
      <c r="C870" s="2" t="n"/>
      <c r="E870" s="1" t="n"/>
      <c r="F870" s="1" t="n"/>
      <c r="G870" s="12" t="n"/>
      <c r="H870" s="3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>
      <c r="A871" s="1" t="n"/>
      <c r="C871" s="2" t="n"/>
      <c r="E871" s="1" t="n"/>
      <c r="F871" s="1" t="n"/>
      <c r="G871" s="12" t="n"/>
      <c r="H871" s="3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>
      <c r="A872" s="1" t="n"/>
      <c r="C872" s="2" t="n"/>
      <c r="E872" s="1" t="n"/>
      <c r="F872" s="1" t="n"/>
      <c r="G872" s="12" t="n"/>
      <c r="H872" s="3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>
      <c r="A873" s="1" t="n"/>
      <c r="C873" s="2" t="n"/>
      <c r="E873" s="1" t="n"/>
      <c r="F873" s="1" t="n"/>
      <c r="G873" s="12" t="n"/>
      <c r="H873" s="3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>
      <c r="A874" s="1" t="n"/>
      <c r="C874" s="2" t="n"/>
      <c r="E874" s="1" t="n"/>
      <c r="F874" s="1" t="n"/>
      <c r="G874" s="12" t="n"/>
      <c r="H874" s="3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>
      <c r="A875" s="1" t="n"/>
      <c r="C875" s="2" t="n"/>
      <c r="E875" s="1" t="n"/>
      <c r="F875" s="1" t="n"/>
      <c r="G875" s="12" t="n"/>
      <c r="H875" s="3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>
      <c r="A876" s="1" t="n"/>
      <c r="C876" s="2" t="n"/>
      <c r="E876" s="1" t="n"/>
      <c r="F876" s="1" t="n"/>
      <c r="G876" s="12" t="n"/>
      <c r="H876" s="3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>
      <c r="A877" s="1" t="n"/>
      <c r="C877" s="2" t="n"/>
      <c r="E877" s="1" t="n"/>
      <c r="F877" s="1" t="n"/>
      <c r="G877" s="12" t="n"/>
      <c r="H877" s="3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>
      <c r="A878" s="1" t="n"/>
      <c r="C878" s="2" t="n"/>
      <c r="E878" s="1" t="n"/>
      <c r="F878" s="1" t="n"/>
      <c r="G878" s="12" t="n"/>
      <c r="H878" s="3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>
      <c r="A879" s="1" t="n"/>
      <c r="C879" s="2" t="n"/>
      <c r="E879" s="1" t="n"/>
      <c r="F879" s="1" t="n"/>
      <c r="G879" s="12" t="n"/>
      <c r="H879" s="3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>
      <c r="A880" s="1" t="n"/>
      <c r="C880" s="2" t="n"/>
      <c r="E880" s="1" t="n"/>
      <c r="F880" s="1" t="n"/>
      <c r="G880" s="12" t="n"/>
      <c r="H880" s="3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>
      <c r="A881" s="1" t="n"/>
      <c r="C881" s="2" t="n"/>
      <c r="E881" s="1" t="n"/>
      <c r="F881" s="1" t="n"/>
      <c r="G881" s="12" t="n"/>
      <c r="H881" s="3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>
      <c r="A882" s="1" t="n"/>
      <c r="C882" s="2" t="n"/>
      <c r="E882" s="1" t="n"/>
      <c r="F882" s="1" t="n"/>
      <c r="G882" s="12" t="n"/>
      <c r="H882" s="3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>
      <c r="A883" s="1" t="n"/>
      <c r="C883" s="2" t="n"/>
      <c r="E883" s="1" t="n"/>
      <c r="F883" s="1" t="n"/>
      <c r="G883" s="12" t="n"/>
      <c r="H883" s="3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>
      <c r="A884" s="1" t="n"/>
      <c r="C884" s="2" t="n"/>
      <c r="E884" s="1" t="n"/>
      <c r="F884" s="1" t="n"/>
      <c r="G884" s="12" t="n"/>
      <c r="H884" s="3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>
      <c r="A885" s="1" t="n"/>
      <c r="C885" s="2" t="n"/>
      <c r="E885" s="1" t="n"/>
      <c r="F885" s="1" t="n"/>
      <c r="G885" s="12" t="n"/>
      <c r="H885" s="3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>
      <c r="A886" s="1" t="n"/>
      <c r="C886" s="2" t="n"/>
      <c r="E886" s="1" t="n"/>
      <c r="F886" s="1" t="n"/>
      <c r="G886" s="12" t="n"/>
      <c r="H886" s="3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>
      <c r="A887" s="1" t="n"/>
      <c r="C887" s="2" t="n"/>
      <c r="E887" s="1" t="n"/>
      <c r="F887" s="1" t="n"/>
      <c r="G887" s="12" t="n"/>
      <c r="H887" s="3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>
      <c r="A888" s="1" t="n"/>
      <c r="C888" s="2" t="n"/>
      <c r="E888" s="1" t="n"/>
      <c r="F888" s="1" t="n"/>
      <c r="G888" s="12" t="n"/>
      <c r="H888" s="3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>
      <c r="A889" s="1" t="n"/>
      <c r="C889" s="2" t="n"/>
      <c r="E889" s="1" t="n"/>
      <c r="F889" s="1" t="n"/>
      <c r="G889" s="12" t="n"/>
      <c r="H889" s="3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>
      <c r="A890" s="1" t="n"/>
      <c r="C890" s="2" t="n"/>
      <c r="E890" s="1" t="n"/>
      <c r="F890" s="1" t="n"/>
      <c r="G890" s="12" t="n"/>
      <c r="H890" s="3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>
      <c r="A891" s="1" t="n"/>
      <c r="C891" s="2" t="n"/>
      <c r="E891" s="1" t="n"/>
      <c r="F891" s="1" t="n"/>
      <c r="G891" s="12" t="n"/>
      <c r="H891" s="3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>
      <c r="A892" s="1" t="n"/>
      <c r="C892" s="2" t="n"/>
      <c r="E892" s="1" t="n"/>
      <c r="F892" s="1" t="n"/>
      <c r="G892" s="12" t="n"/>
      <c r="H892" s="3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>
      <c r="A893" s="1" t="n"/>
      <c r="C893" s="2" t="n"/>
      <c r="E893" s="1" t="n"/>
      <c r="F893" s="1" t="n"/>
      <c r="G893" s="12" t="n"/>
      <c r="H893" s="3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>
      <c r="A894" s="1" t="n"/>
      <c r="C894" s="2" t="n"/>
      <c r="E894" s="1" t="n"/>
      <c r="F894" s="1" t="n"/>
      <c r="G894" s="12" t="n"/>
      <c r="H894" s="3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>
      <c r="A895" s="1" t="n"/>
      <c r="C895" s="2" t="n"/>
      <c r="E895" s="1" t="n"/>
      <c r="F895" s="1" t="n"/>
      <c r="G895" s="12" t="n"/>
      <c r="H895" s="3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>
      <c r="A896" s="1" t="n"/>
      <c r="C896" s="2" t="n"/>
      <c r="E896" s="1" t="n"/>
      <c r="F896" s="1" t="n"/>
      <c r="G896" s="12" t="n"/>
      <c r="H896" s="3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>
      <c r="A897" s="1" t="n"/>
      <c r="C897" s="2" t="n"/>
      <c r="E897" s="1" t="n"/>
      <c r="F897" s="1" t="n"/>
      <c r="G897" s="12" t="n"/>
      <c r="H897" s="3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>
      <c r="A898" s="1" t="n"/>
      <c r="C898" s="2" t="n"/>
      <c r="E898" s="1" t="n"/>
      <c r="F898" s="1" t="n"/>
      <c r="G898" s="12" t="n"/>
      <c r="H898" s="3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>
      <c r="A899" s="1" t="n"/>
      <c r="C899" s="2" t="n"/>
      <c r="E899" s="1" t="n"/>
      <c r="F899" s="1" t="n"/>
      <c r="G899" s="12" t="n"/>
      <c r="H899" s="3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>
      <c r="A900" s="1" t="n"/>
      <c r="C900" s="2" t="n"/>
      <c r="E900" s="1" t="n"/>
      <c r="F900" s="1" t="n"/>
      <c r="G900" s="12" t="n"/>
      <c r="H900" s="3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>
      <c r="A901" s="1" t="n"/>
      <c r="C901" s="2" t="n"/>
      <c r="E901" s="1" t="n"/>
      <c r="F901" s="1" t="n"/>
      <c r="G901" s="12" t="n"/>
      <c r="H901" s="3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>
      <c r="A902" s="1" t="n"/>
      <c r="C902" s="2" t="n"/>
      <c r="E902" s="1" t="n"/>
      <c r="F902" s="1" t="n"/>
      <c r="G902" s="12" t="n"/>
      <c r="H902" s="3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>
      <c r="A903" s="1" t="n"/>
      <c r="C903" s="2" t="n"/>
      <c r="E903" s="1" t="n"/>
      <c r="F903" s="1" t="n"/>
      <c r="G903" s="12" t="n"/>
      <c r="H903" s="3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>
      <c r="A904" s="1" t="n"/>
      <c r="C904" s="2" t="n"/>
      <c r="E904" s="1" t="n"/>
      <c r="F904" s="1" t="n"/>
      <c r="G904" s="12" t="n"/>
      <c r="H904" s="3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>
      <c r="A905" s="1" t="n"/>
      <c r="C905" s="2" t="n"/>
      <c r="E905" s="1" t="n"/>
      <c r="F905" s="1" t="n"/>
      <c r="G905" s="12" t="n"/>
      <c r="H905" s="3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>
      <c r="A906" s="1" t="n"/>
      <c r="C906" s="2" t="n"/>
      <c r="E906" s="1" t="n"/>
      <c r="F906" s="1" t="n"/>
      <c r="G906" s="12" t="n"/>
      <c r="H906" s="3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>
      <c r="A907" s="1" t="n"/>
      <c r="C907" s="2" t="n"/>
      <c r="E907" s="1" t="n"/>
      <c r="F907" s="1" t="n"/>
      <c r="G907" s="12" t="n"/>
      <c r="H907" s="3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>
      <c r="A908" s="1" t="n"/>
      <c r="C908" s="2" t="n"/>
      <c r="E908" s="1" t="n"/>
      <c r="F908" s="1" t="n"/>
      <c r="G908" s="12" t="n"/>
      <c r="H908" s="3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>
      <c r="A909" s="1" t="n"/>
      <c r="C909" s="2" t="n"/>
      <c r="E909" s="1" t="n"/>
      <c r="F909" s="1" t="n"/>
      <c r="G909" s="12" t="n"/>
      <c r="H909" s="3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>
      <c r="A910" s="1" t="n"/>
      <c r="C910" s="2" t="n"/>
      <c r="E910" s="1" t="n"/>
      <c r="F910" s="1" t="n"/>
      <c r="G910" s="12" t="n"/>
      <c r="H910" s="3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>
      <c r="A911" s="1" t="n"/>
      <c r="C911" s="2" t="n"/>
      <c r="E911" s="1" t="n"/>
      <c r="F911" s="1" t="n"/>
      <c r="G911" s="12" t="n"/>
      <c r="H911" s="3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>
      <c r="A912" s="1" t="n"/>
      <c r="C912" s="2" t="n"/>
      <c r="E912" s="1" t="n"/>
      <c r="F912" s="1" t="n"/>
      <c r="G912" s="12" t="n"/>
      <c r="H912" s="3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>
      <c r="A913" s="1" t="n"/>
      <c r="C913" s="2" t="n"/>
      <c r="E913" s="1" t="n"/>
      <c r="F913" s="1" t="n"/>
      <c r="G913" s="12" t="n"/>
      <c r="H913" s="3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>
      <c r="A914" s="1" t="n"/>
      <c r="C914" s="2" t="n"/>
      <c r="E914" s="1" t="n"/>
      <c r="F914" s="1" t="n"/>
      <c r="G914" s="12" t="n"/>
      <c r="H914" s="3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>
      <c r="A915" s="1" t="n"/>
      <c r="C915" s="2" t="n"/>
      <c r="E915" s="1" t="n"/>
      <c r="F915" s="1" t="n"/>
      <c r="G915" s="12" t="n"/>
      <c r="H915" s="3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>
      <c r="A916" s="1" t="n"/>
      <c r="C916" s="2" t="n"/>
      <c r="E916" s="1" t="n"/>
      <c r="F916" s="1" t="n"/>
      <c r="G916" s="12" t="n"/>
      <c r="H916" s="3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>
      <c r="A917" s="1" t="n"/>
      <c r="C917" s="2" t="n"/>
      <c r="E917" s="1" t="n"/>
      <c r="F917" s="1" t="n"/>
      <c r="G917" s="12" t="n"/>
      <c r="H917" s="3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>
      <c r="A918" s="1" t="n"/>
      <c r="C918" s="2" t="n"/>
      <c r="E918" s="1" t="n"/>
      <c r="F918" s="1" t="n"/>
      <c r="G918" s="12" t="n"/>
      <c r="H918" s="3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>
      <c r="A919" s="1" t="n"/>
      <c r="C919" s="2" t="n"/>
      <c r="E919" s="1" t="n"/>
      <c r="F919" s="1" t="n"/>
      <c r="G919" s="12" t="n"/>
      <c r="H919" s="3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>
      <c r="A920" s="1" t="n"/>
      <c r="C920" s="2" t="n"/>
      <c r="E920" s="1" t="n"/>
      <c r="F920" s="1" t="n"/>
      <c r="G920" s="12" t="n"/>
      <c r="H920" s="3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>
      <c r="A921" s="1" t="n"/>
      <c r="C921" s="2" t="n"/>
      <c r="E921" s="1" t="n"/>
      <c r="F921" s="1" t="n"/>
      <c r="G921" s="12" t="n"/>
      <c r="H921" s="3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>
      <c r="A922" s="1" t="n"/>
      <c r="C922" s="2" t="n"/>
      <c r="E922" s="1" t="n"/>
      <c r="F922" s="1" t="n"/>
      <c r="G922" s="12" t="n"/>
      <c r="H922" s="3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>
      <c r="A923" s="1" t="n"/>
      <c r="C923" s="2" t="n"/>
      <c r="E923" s="1" t="n"/>
      <c r="F923" s="1" t="n"/>
      <c r="G923" s="12" t="n"/>
      <c r="H923" s="3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>
      <c r="A924" s="1" t="n"/>
      <c r="C924" s="2" t="n"/>
      <c r="E924" s="1" t="n"/>
      <c r="F924" s="1" t="n"/>
      <c r="G924" s="12" t="n"/>
      <c r="H924" s="3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>
      <c r="A925" s="1" t="n"/>
      <c r="C925" s="2" t="n"/>
      <c r="E925" s="1" t="n"/>
      <c r="F925" s="1" t="n"/>
      <c r="G925" s="12" t="n"/>
      <c r="H925" s="3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>
      <c r="A926" s="1" t="n"/>
      <c r="C926" s="2" t="n"/>
      <c r="E926" s="1" t="n"/>
      <c r="F926" s="1" t="n"/>
      <c r="G926" s="12" t="n"/>
      <c r="H926" s="3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>
      <c r="A927" s="1" t="n"/>
      <c r="C927" s="2" t="n"/>
      <c r="E927" s="1" t="n"/>
      <c r="F927" s="1" t="n"/>
      <c r="G927" s="12" t="n"/>
      <c r="H927" s="3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>
      <c r="A928" s="1" t="n"/>
      <c r="C928" s="2" t="n"/>
      <c r="E928" s="1" t="n"/>
      <c r="F928" s="1" t="n"/>
      <c r="G928" s="12" t="n"/>
      <c r="H928" s="3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>
      <c r="A929" s="1" t="n"/>
      <c r="C929" s="2" t="n"/>
      <c r="E929" s="1" t="n"/>
      <c r="F929" s="1" t="n"/>
      <c r="G929" s="12" t="n"/>
      <c r="H929" s="3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>
      <c r="A930" s="1" t="n"/>
      <c r="C930" s="2" t="n"/>
      <c r="E930" s="1" t="n"/>
      <c r="F930" s="1" t="n"/>
      <c r="G930" s="12" t="n"/>
      <c r="H930" s="3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>
      <c r="A931" s="1" t="n"/>
      <c r="C931" s="2" t="n"/>
      <c r="E931" s="1" t="n"/>
      <c r="F931" s="1" t="n"/>
      <c r="G931" s="12" t="n"/>
      <c r="H931" s="3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>
      <c r="A932" s="1" t="n"/>
      <c r="C932" s="2" t="n"/>
      <c r="E932" s="1" t="n"/>
      <c r="F932" s="1" t="n"/>
      <c r="G932" s="12" t="n"/>
      <c r="H932" s="3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>
      <c r="A933" s="1" t="n"/>
      <c r="C933" s="2" t="n"/>
      <c r="E933" s="1" t="n"/>
      <c r="F933" s="1" t="n"/>
      <c r="G933" s="12" t="n"/>
      <c r="H933" s="3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>
      <c r="A934" s="1" t="n"/>
      <c r="C934" s="2" t="n"/>
      <c r="E934" s="1" t="n"/>
      <c r="F934" s="1" t="n"/>
      <c r="G934" s="12" t="n"/>
      <c r="H934" s="3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>
      <c r="A935" s="1" t="n"/>
      <c r="C935" s="2" t="n"/>
      <c r="E935" s="1" t="n"/>
      <c r="F935" s="1" t="n"/>
      <c r="G935" s="12" t="n"/>
      <c r="H935" s="3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>
      <c r="A936" s="1" t="n"/>
      <c r="C936" s="2" t="n"/>
      <c r="E936" s="1" t="n"/>
      <c r="F936" s="1" t="n"/>
      <c r="G936" s="12" t="n"/>
      <c r="H936" s="3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>
      <c r="A937" s="1" t="n"/>
      <c r="C937" s="2" t="n"/>
      <c r="E937" s="1" t="n"/>
      <c r="F937" s="1" t="n"/>
      <c r="G937" s="12" t="n"/>
      <c r="H937" s="3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>
      <c r="A938" s="1" t="n"/>
      <c r="C938" s="2" t="n"/>
      <c r="E938" s="1" t="n"/>
      <c r="F938" s="1" t="n"/>
      <c r="G938" s="12" t="n"/>
      <c r="H938" s="3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>
      <c r="A939" s="1" t="n"/>
      <c r="C939" s="2" t="n"/>
      <c r="E939" s="1" t="n"/>
      <c r="F939" s="1" t="n"/>
      <c r="G939" s="12" t="n"/>
      <c r="H939" s="3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>
      <c r="A940" s="1" t="n"/>
      <c r="C940" s="2" t="n"/>
      <c r="E940" s="1" t="n"/>
      <c r="F940" s="1" t="n"/>
      <c r="G940" s="12" t="n"/>
      <c r="H940" s="3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>
      <c r="A941" s="1" t="n"/>
      <c r="C941" s="2" t="n"/>
      <c r="E941" s="1" t="n"/>
      <c r="F941" s="1" t="n"/>
      <c r="G941" s="12" t="n"/>
      <c r="H941" s="3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>
      <c r="A942" s="1" t="n"/>
      <c r="C942" s="2" t="n"/>
      <c r="E942" s="1" t="n"/>
      <c r="F942" s="1" t="n"/>
      <c r="G942" s="12" t="n"/>
      <c r="H942" s="3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>
      <c r="A943" s="1" t="n"/>
      <c r="C943" s="2" t="n"/>
      <c r="E943" s="1" t="n"/>
      <c r="F943" s="1" t="n"/>
      <c r="G943" s="12" t="n"/>
      <c r="H943" s="3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>
      <c r="A944" s="1" t="n"/>
      <c r="C944" s="2" t="n"/>
      <c r="E944" s="1" t="n"/>
      <c r="F944" s="1" t="n"/>
      <c r="G944" s="12" t="n"/>
      <c r="H944" s="3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>
      <c r="A945" s="1" t="n"/>
      <c r="C945" s="2" t="n"/>
      <c r="E945" s="1" t="n"/>
      <c r="F945" s="1" t="n"/>
      <c r="G945" s="12" t="n"/>
      <c r="H945" s="3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>
      <c r="A946" s="1" t="n"/>
      <c r="C946" s="2" t="n"/>
      <c r="E946" s="1" t="n"/>
      <c r="F946" s="1" t="n"/>
      <c r="G946" s="12" t="n"/>
      <c r="H946" s="3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>
      <c r="A947" s="1" t="n"/>
      <c r="C947" s="2" t="n"/>
      <c r="E947" s="1" t="n"/>
      <c r="F947" s="1" t="n"/>
      <c r="G947" s="12" t="n"/>
      <c r="H947" s="3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>
      <c r="A948" s="1" t="n"/>
      <c r="C948" s="2" t="n"/>
      <c r="E948" s="1" t="n"/>
      <c r="F948" s="1" t="n"/>
      <c r="G948" s="12" t="n"/>
      <c r="H948" s="3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>
      <c r="A949" s="1" t="n"/>
      <c r="C949" s="2" t="n"/>
      <c r="E949" s="1" t="n"/>
      <c r="F949" s="1" t="n"/>
      <c r="G949" s="12" t="n"/>
      <c r="H949" s="3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>
      <c r="A950" s="1" t="n"/>
      <c r="C950" s="2" t="n"/>
      <c r="E950" s="1" t="n"/>
      <c r="F950" s="1" t="n"/>
      <c r="G950" s="12" t="n"/>
      <c r="H950" s="3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>
      <c r="A951" s="1" t="n"/>
      <c r="C951" s="2" t="n"/>
      <c r="E951" s="1" t="n"/>
      <c r="F951" s="1" t="n"/>
      <c r="G951" s="12" t="n"/>
      <c r="H951" s="3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>
      <c r="A952" s="1" t="n"/>
      <c r="C952" s="2" t="n"/>
      <c r="E952" s="1" t="n"/>
      <c r="F952" s="1" t="n"/>
      <c r="G952" s="12" t="n"/>
      <c r="H952" s="3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>
      <c r="A953" s="1" t="n"/>
      <c r="C953" s="2" t="n"/>
      <c r="E953" s="1" t="n"/>
      <c r="F953" s="1" t="n"/>
      <c r="G953" s="12" t="n"/>
      <c r="H953" s="3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>
      <c r="A954" s="1" t="n"/>
      <c r="C954" s="2" t="n"/>
      <c r="E954" s="1" t="n"/>
      <c r="F954" s="1" t="n"/>
      <c r="G954" s="12" t="n"/>
      <c r="H954" s="3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>
      <c r="A955" s="1" t="n"/>
      <c r="C955" s="2" t="n"/>
      <c r="E955" s="1" t="n"/>
      <c r="F955" s="1" t="n"/>
      <c r="G955" s="12" t="n"/>
      <c r="H955" s="3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>
      <c r="A956" s="1" t="n"/>
      <c r="C956" s="2" t="n"/>
      <c r="E956" s="1" t="n"/>
      <c r="F956" s="1" t="n"/>
      <c r="G956" s="12" t="n"/>
      <c r="H956" s="3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>
      <c r="A957" s="1" t="n"/>
      <c r="C957" s="2" t="n"/>
      <c r="E957" s="1" t="n"/>
      <c r="F957" s="1" t="n"/>
      <c r="G957" s="12" t="n"/>
      <c r="H957" s="3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>
      <c r="A958" s="1" t="n"/>
      <c r="C958" s="2" t="n"/>
      <c r="E958" s="1" t="n"/>
      <c r="F958" s="1" t="n"/>
      <c r="G958" s="12" t="n"/>
      <c r="H958" s="3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>
      <c r="A959" s="1" t="n"/>
      <c r="C959" s="2" t="n"/>
      <c r="E959" s="1" t="n"/>
      <c r="F959" s="1" t="n"/>
      <c r="G959" s="12" t="n"/>
      <c r="H959" s="3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>
      <c r="A960" s="1" t="n"/>
      <c r="C960" s="2" t="n"/>
      <c r="E960" s="1" t="n"/>
      <c r="F960" s="1" t="n"/>
      <c r="G960" s="12" t="n"/>
      <c r="H960" s="3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>
      <c r="A961" s="1" t="n"/>
      <c r="C961" s="2" t="n"/>
      <c r="E961" s="1" t="n"/>
      <c r="F961" s="1" t="n"/>
      <c r="G961" s="12" t="n"/>
      <c r="H961" s="3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>
      <c r="A962" s="1" t="n"/>
      <c r="C962" s="2" t="n"/>
      <c r="E962" s="1" t="n"/>
      <c r="F962" s="1" t="n"/>
      <c r="G962" s="12" t="n"/>
      <c r="H962" s="3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>
      <c r="A963" s="1" t="n"/>
      <c r="C963" s="2" t="n"/>
      <c r="E963" s="1" t="n"/>
      <c r="F963" s="1" t="n"/>
      <c r="G963" s="12" t="n"/>
      <c r="H963" s="3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>
      <c r="A964" s="1" t="n"/>
      <c r="C964" s="2" t="n"/>
      <c r="E964" s="1" t="n"/>
      <c r="F964" s="1" t="n"/>
      <c r="G964" s="12" t="n"/>
      <c r="H964" s="3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>
      <c r="A965" s="1" t="n"/>
      <c r="C965" s="2" t="n"/>
      <c r="E965" s="1" t="n"/>
      <c r="F965" s="1" t="n"/>
      <c r="G965" s="12" t="n"/>
      <c r="H965" s="3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>
      <c r="A966" s="1" t="n"/>
      <c r="C966" s="2" t="n"/>
      <c r="E966" s="1" t="n"/>
      <c r="F966" s="1" t="n"/>
      <c r="G966" s="12" t="n"/>
      <c r="H966" s="3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>
      <c r="A967" s="1" t="n"/>
      <c r="C967" s="2" t="n"/>
      <c r="E967" s="1" t="n"/>
      <c r="F967" s="1" t="n"/>
      <c r="G967" s="12" t="n"/>
      <c r="H967" s="3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>
      <c r="A968" s="1" t="n"/>
      <c r="C968" s="2" t="n"/>
      <c r="E968" s="1" t="n"/>
      <c r="F968" s="1" t="n"/>
      <c r="G968" s="12" t="n"/>
      <c r="H968" s="3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>
      <c r="A969" s="1" t="n"/>
      <c r="C969" s="2" t="n"/>
      <c r="E969" s="1" t="n"/>
      <c r="F969" s="1" t="n"/>
      <c r="G969" s="12" t="n"/>
      <c r="H969" s="3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>
      <c r="A970" s="1" t="n"/>
      <c r="C970" s="2" t="n"/>
      <c r="E970" s="1" t="n"/>
      <c r="F970" s="1" t="n"/>
      <c r="G970" s="12" t="n"/>
      <c r="H970" s="3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>
      <c r="A971" s="1" t="n"/>
      <c r="C971" s="2" t="n"/>
      <c r="E971" s="1" t="n"/>
      <c r="F971" s="1" t="n"/>
      <c r="G971" s="12" t="n"/>
      <c r="H971" s="3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>
      <c r="A972" s="1" t="n"/>
      <c r="C972" s="2" t="n"/>
      <c r="E972" s="1" t="n"/>
      <c r="F972" s="1" t="n"/>
      <c r="G972" s="12" t="n"/>
      <c r="H972" s="3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>
      <c r="A973" s="1" t="n"/>
      <c r="C973" s="2" t="n"/>
      <c r="E973" s="1" t="n"/>
      <c r="F973" s="1" t="n"/>
      <c r="G973" s="12" t="n"/>
      <c r="H973" s="3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>
      <c r="A974" s="1" t="n"/>
      <c r="C974" s="2" t="n"/>
      <c r="E974" s="1" t="n"/>
      <c r="F974" s="1" t="n"/>
      <c r="G974" s="12" t="n"/>
      <c r="H974" s="3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>
      <c r="A975" s="1" t="n"/>
      <c r="C975" s="2" t="n"/>
      <c r="E975" s="1" t="n"/>
      <c r="F975" s="1" t="n"/>
      <c r="G975" s="12" t="n"/>
      <c r="H975" s="3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>
      <c r="A976" s="1" t="n"/>
      <c r="C976" s="2" t="n"/>
      <c r="E976" s="1" t="n"/>
      <c r="F976" s="1" t="n"/>
      <c r="G976" s="12" t="n"/>
      <c r="H976" s="3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>
      <c r="A977" s="1" t="n"/>
      <c r="C977" s="2" t="n"/>
      <c r="E977" s="1" t="n"/>
      <c r="F977" s="1" t="n"/>
      <c r="G977" s="12" t="n"/>
      <c r="H977" s="3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>
      <c r="A978" s="1" t="n"/>
      <c r="C978" s="2" t="n"/>
      <c r="E978" s="1" t="n"/>
      <c r="F978" s="1" t="n"/>
      <c r="G978" s="12" t="n"/>
      <c r="H978" s="3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>
      <c r="A979" s="1" t="n"/>
      <c r="C979" s="2" t="n"/>
      <c r="E979" s="1" t="n"/>
      <c r="F979" s="1" t="n"/>
      <c r="G979" s="12" t="n"/>
      <c r="H979" s="3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>
      <c r="A980" s="1" t="n"/>
      <c r="C980" s="2" t="n"/>
      <c r="E980" s="1" t="n"/>
      <c r="F980" s="1" t="n"/>
      <c r="G980" s="12" t="n"/>
      <c r="H980" s="3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>
      <c r="A981" s="1" t="n"/>
      <c r="C981" s="2" t="n"/>
      <c r="E981" s="1" t="n"/>
      <c r="F981" s="1" t="n"/>
      <c r="G981" s="12" t="n"/>
      <c r="H981" s="3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>
      <c r="A982" s="1" t="n"/>
      <c r="C982" s="2" t="n"/>
      <c r="E982" s="1" t="n"/>
      <c r="F982" s="1" t="n"/>
      <c r="G982" s="12" t="n"/>
      <c r="H982" s="3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>
      <c r="A983" s="1" t="n"/>
      <c r="C983" s="2" t="n"/>
      <c r="E983" s="1" t="n"/>
      <c r="F983" s="1" t="n"/>
      <c r="G983" s="12" t="n"/>
      <c r="H983" s="3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>
      <c r="A984" s="1" t="n"/>
      <c r="C984" s="2" t="n"/>
      <c r="E984" s="1" t="n"/>
      <c r="F984" s="1" t="n"/>
      <c r="G984" s="12" t="n"/>
      <c r="H984" s="3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>
      <c r="A985" s="1" t="n"/>
      <c r="C985" s="2" t="n"/>
      <c r="E985" s="1" t="n"/>
      <c r="F985" s="1" t="n"/>
      <c r="G985" s="12" t="n"/>
      <c r="H985" s="3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>
      <c r="A986" s="1" t="n"/>
      <c r="C986" s="2" t="n"/>
      <c r="E986" s="1" t="n"/>
      <c r="F986" s="1" t="n"/>
      <c r="G986" s="12" t="n"/>
      <c r="H986" s="3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>
      <c r="A987" s="1" t="n"/>
      <c r="C987" s="2" t="n"/>
      <c r="E987" s="1" t="n"/>
      <c r="F987" s="1" t="n"/>
      <c r="G987" s="12" t="n"/>
      <c r="H987" s="3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>
      <c r="A988" s="1" t="n"/>
      <c r="C988" s="2" t="n"/>
      <c r="E988" s="1" t="n"/>
      <c r="F988" s="1" t="n"/>
      <c r="G988" s="12" t="n"/>
      <c r="H988" s="3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>
      <c r="A989" s="1" t="n"/>
      <c r="C989" s="2" t="n"/>
      <c r="E989" s="1" t="n"/>
      <c r="F989" s="1" t="n"/>
      <c r="G989" s="12" t="n"/>
      <c r="H989" s="3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>
      <c r="A990" s="1" t="n"/>
      <c r="C990" s="2" t="n"/>
      <c r="E990" s="1" t="n"/>
      <c r="F990" s="1" t="n"/>
      <c r="G990" s="12" t="n"/>
      <c r="H990" s="3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>
      <c r="A991" s="1" t="n"/>
      <c r="C991" s="2" t="n"/>
      <c r="E991" s="1" t="n"/>
      <c r="F991" s="1" t="n"/>
      <c r="G991" s="12" t="n"/>
      <c r="H991" s="3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>
      <c r="A992" s="1" t="n"/>
      <c r="C992" s="2" t="n"/>
      <c r="E992" s="1" t="n"/>
      <c r="F992" s="1" t="n"/>
      <c r="G992" s="12" t="n"/>
      <c r="H992" s="3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>
      <c r="A993" s="1" t="n"/>
      <c r="C993" s="2" t="n"/>
      <c r="E993" s="1" t="n"/>
      <c r="F993" s="1" t="n"/>
      <c r="G993" s="12" t="n"/>
      <c r="H993" s="3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>
      <c r="A994" s="1" t="n"/>
      <c r="C994" s="2" t="n"/>
      <c r="E994" s="1" t="n"/>
      <c r="F994" s="1" t="n"/>
      <c r="G994" s="12" t="n"/>
      <c r="H994" s="3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>
      <c r="A995" s="1" t="n"/>
      <c r="C995" s="2" t="n"/>
      <c r="E995" s="1" t="n"/>
      <c r="F995" s="1" t="n"/>
      <c r="G995" s="12" t="n"/>
      <c r="H995" s="3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>
      <c r="A996" s="1" t="n"/>
      <c r="C996" s="2" t="n"/>
      <c r="E996" s="1" t="n"/>
      <c r="F996" s="1" t="n"/>
      <c r="G996" s="12" t="n"/>
      <c r="H996" s="3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>
      <c r="A997" s="1" t="n"/>
      <c r="C997" s="2" t="n"/>
      <c r="E997" s="1" t="n"/>
      <c r="F997" s="1" t="n"/>
      <c r="G997" s="12" t="n"/>
      <c r="H997" s="3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I13" r:id="rId23"/>
    <hyperlink xmlns:r="http://schemas.openxmlformats.org/officeDocument/2006/relationships" ref="J13" r:id="rId24"/>
    <hyperlink xmlns:r="http://schemas.openxmlformats.org/officeDocument/2006/relationships" ref="I14" r:id="rId25"/>
    <hyperlink xmlns:r="http://schemas.openxmlformats.org/officeDocument/2006/relationships" ref="J14" r:id="rId26"/>
    <hyperlink xmlns:r="http://schemas.openxmlformats.org/officeDocument/2006/relationships" ref="I15" r:id="rId27"/>
    <hyperlink xmlns:r="http://schemas.openxmlformats.org/officeDocument/2006/relationships" ref="J15" r:id="rId28"/>
    <hyperlink xmlns:r="http://schemas.openxmlformats.org/officeDocument/2006/relationships" ref="I16" r:id="rId29"/>
    <hyperlink xmlns:r="http://schemas.openxmlformats.org/officeDocument/2006/relationships" ref="J16" r:id="rId30"/>
    <hyperlink xmlns:r="http://schemas.openxmlformats.org/officeDocument/2006/relationships" ref="I17" r:id="rId31"/>
    <hyperlink xmlns:r="http://schemas.openxmlformats.org/officeDocument/2006/relationships" ref="J17" r:id="rId32"/>
    <hyperlink xmlns:r="http://schemas.openxmlformats.org/officeDocument/2006/relationships" ref="I18" r:id="rId33"/>
    <hyperlink xmlns:r="http://schemas.openxmlformats.org/officeDocument/2006/relationships" ref="J18" r:id="rId34"/>
    <hyperlink xmlns:r="http://schemas.openxmlformats.org/officeDocument/2006/relationships" ref="I19" r:id="rId35"/>
    <hyperlink xmlns:r="http://schemas.openxmlformats.org/officeDocument/2006/relationships" ref="J19" r:id="rId36"/>
    <hyperlink xmlns:r="http://schemas.openxmlformats.org/officeDocument/2006/relationships" ref="I20" r:id="rId37"/>
    <hyperlink xmlns:r="http://schemas.openxmlformats.org/officeDocument/2006/relationships" ref="J20" r:id="rId38"/>
    <hyperlink xmlns:r="http://schemas.openxmlformats.org/officeDocument/2006/relationships" ref="I21" r:id="rId39"/>
    <hyperlink xmlns:r="http://schemas.openxmlformats.org/officeDocument/2006/relationships" ref="J21" r:id="rId40"/>
    <hyperlink xmlns:r="http://schemas.openxmlformats.org/officeDocument/2006/relationships" ref="I22" r:id="rId41"/>
    <hyperlink xmlns:r="http://schemas.openxmlformats.org/officeDocument/2006/relationships" ref="J22" r:id="rId42"/>
    <hyperlink xmlns:r="http://schemas.openxmlformats.org/officeDocument/2006/relationships" ref="I23" r:id="rId43"/>
    <hyperlink xmlns:r="http://schemas.openxmlformats.org/officeDocument/2006/relationships" ref="J23" r:id="rId44"/>
    <hyperlink xmlns:r="http://schemas.openxmlformats.org/officeDocument/2006/relationships" ref="I24" r:id="rId45"/>
    <hyperlink xmlns:r="http://schemas.openxmlformats.org/officeDocument/2006/relationships" ref="J24" r:id="rId46"/>
    <hyperlink xmlns:r="http://schemas.openxmlformats.org/officeDocument/2006/relationships" ref="I25" r:id="rId47"/>
    <hyperlink xmlns:r="http://schemas.openxmlformats.org/officeDocument/2006/relationships" ref="J25" r:id="rId48"/>
    <hyperlink xmlns:r="http://schemas.openxmlformats.org/officeDocument/2006/relationships" ref="I26" r:id="rId49"/>
    <hyperlink xmlns:r="http://schemas.openxmlformats.org/officeDocument/2006/relationships" ref="J26" r:id="rId50"/>
    <hyperlink xmlns:r="http://schemas.openxmlformats.org/officeDocument/2006/relationships" ref="I27" r:id="rId51"/>
    <hyperlink xmlns:r="http://schemas.openxmlformats.org/officeDocument/2006/relationships" ref="J27" r:id="rId52"/>
    <hyperlink xmlns:r="http://schemas.openxmlformats.org/officeDocument/2006/relationships" ref="I28" r:id="rId53"/>
    <hyperlink xmlns:r="http://schemas.openxmlformats.org/officeDocument/2006/relationships" ref="J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J29" r:id="rId57"/>
    <hyperlink xmlns:r="http://schemas.openxmlformats.org/officeDocument/2006/relationships" ref="H30" r:id="rId58"/>
    <hyperlink xmlns:r="http://schemas.openxmlformats.org/officeDocument/2006/relationships" ref="I30" r:id="rId59"/>
    <hyperlink xmlns:r="http://schemas.openxmlformats.org/officeDocument/2006/relationships" ref="J30" r:id="rId60"/>
    <hyperlink xmlns:r="http://schemas.openxmlformats.org/officeDocument/2006/relationships" ref="I31" r:id="rId61"/>
    <hyperlink xmlns:r="http://schemas.openxmlformats.org/officeDocument/2006/relationships" ref="J31" r:id="rId62"/>
    <hyperlink xmlns:r="http://schemas.openxmlformats.org/officeDocument/2006/relationships" ref="I32" r:id="rId63"/>
    <hyperlink xmlns:r="http://schemas.openxmlformats.org/officeDocument/2006/relationships" ref="J32" r:id="rId64"/>
    <hyperlink xmlns:r="http://schemas.openxmlformats.org/officeDocument/2006/relationships" ref="I33" r:id="rId65"/>
    <hyperlink xmlns:r="http://schemas.openxmlformats.org/officeDocument/2006/relationships" ref="J33" r:id="rId66"/>
    <hyperlink xmlns:r="http://schemas.openxmlformats.org/officeDocument/2006/relationships" ref="I34" r:id="rId67"/>
    <hyperlink xmlns:r="http://schemas.openxmlformats.org/officeDocument/2006/relationships" ref="J34" r:id="rId68"/>
    <hyperlink xmlns:r="http://schemas.openxmlformats.org/officeDocument/2006/relationships" ref="I35" r:id="rId69"/>
    <hyperlink xmlns:r="http://schemas.openxmlformats.org/officeDocument/2006/relationships" ref="J35" r:id="rId70"/>
    <hyperlink xmlns:r="http://schemas.openxmlformats.org/officeDocument/2006/relationships" ref="I36" r:id="rId71"/>
    <hyperlink xmlns:r="http://schemas.openxmlformats.org/officeDocument/2006/relationships" ref="J36" r:id="rId72"/>
    <hyperlink xmlns:r="http://schemas.openxmlformats.org/officeDocument/2006/relationships" ref="I37" r:id="rId73"/>
    <hyperlink xmlns:r="http://schemas.openxmlformats.org/officeDocument/2006/relationships" ref="J37" r:id="rId74"/>
    <hyperlink xmlns:r="http://schemas.openxmlformats.org/officeDocument/2006/relationships" ref="I38" r:id="rId75"/>
    <hyperlink xmlns:r="http://schemas.openxmlformats.org/officeDocument/2006/relationships" ref="J38" r:id="rId76"/>
    <hyperlink xmlns:r="http://schemas.openxmlformats.org/officeDocument/2006/relationships" ref="I39" r:id="rId77"/>
    <hyperlink xmlns:r="http://schemas.openxmlformats.org/officeDocument/2006/relationships" ref="J39" r:id="rId78"/>
    <hyperlink xmlns:r="http://schemas.openxmlformats.org/officeDocument/2006/relationships" ref="I40" r:id="rId79"/>
    <hyperlink xmlns:r="http://schemas.openxmlformats.org/officeDocument/2006/relationships" ref="J40" r:id="rId80"/>
    <hyperlink xmlns:r="http://schemas.openxmlformats.org/officeDocument/2006/relationships" ref="I41" r:id="rId81"/>
    <hyperlink xmlns:r="http://schemas.openxmlformats.org/officeDocument/2006/relationships" ref="J41" r:id="rId82"/>
    <hyperlink xmlns:r="http://schemas.openxmlformats.org/officeDocument/2006/relationships" ref="I42" r:id="rId83"/>
    <hyperlink xmlns:r="http://schemas.openxmlformats.org/officeDocument/2006/relationships" ref="J42" r:id="rId84"/>
    <hyperlink xmlns:r="http://schemas.openxmlformats.org/officeDocument/2006/relationships" ref="I43" r:id="rId85"/>
    <hyperlink xmlns:r="http://schemas.openxmlformats.org/officeDocument/2006/relationships" ref="J43" r:id="rId86"/>
    <hyperlink xmlns:r="http://schemas.openxmlformats.org/officeDocument/2006/relationships" ref="I44" r:id="rId87"/>
    <hyperlink xmlns:r="http://schemas.openxmlformats.org/officeDocument/2006/relationships" ref="J44" r:id="rId88"/>
    <hyperlink xmlns:r="http://schemas.openxmlformats.org/officeDocument/2006/relationships" ref="I45" r:id="rId89"/>
    <hyperlink xmlns:r="http://schemas.openxmlformats.org/officeDocument/2006/relationships" ref="J45" r:id="rId90"/>
    <hyperlink xmlns:r="http://schemas.openxmlformats.org/officeDocument/2006/relationships" ref="I46" r:id="rId91"/>
    <hyperlink xmlns:r="http://schemas.openxmlformats.org/officeDocument/2006/relationships" ref="J46" r:id="rId92"/>
    <hyperlink xmlns:r="http://schemas.openxmlformats.org/officeDocument/2006/relationships" ref="I47" r:id="rId93"/>
    <hyperlink xmlns:r="http://schemas.openxmlformats.org/officeDocument/2006/relationships" ref="J47" r:id="rId94"/>
    <hyperlink xmlns:r="http://schemas.openxmlformats.org/officeDocument/2006/relationships" ref="I48" r:id="rId95"/>
    <hyperlink xmlns:r="http://schemas.openxmlformats.org/officeDocument/2006/relationships" ref="J48" r:id="rId96"/>
    <hyperlink xmlns:r="http://schemas.openxmlformats.org/officeDocument/2006/relationships" ref="I49" r:id="rId97"/>
    <hyperlink xmlns:r="http://schemas.openxmlformats.org/officeDocument/2006/relationships" ref="J49" r:id="rId98"/>
    <hyperlink xmlns:r="http://schemas.openxmlformats.org/officeDocument/2006/relationships" ref="I50" r:id="rId99"/>
    <hyperlink xmlns:r="http://schemas.openxmlformats.org/officeDocument/2006/relationships" ref="J50" r:id="rId100"/>
    <hyperlink xmlns:r="http://schemas.openxmlformats.org/officeDocument/2006/relationships" ref="I51" r:id="rId101"/>
    <hyperlink xmlns:r="http://schemas.openxmlformats.org/officeDocument/2006/relationships" ref="J51" r:id="rId102"/>
    <hyperlink xmlns:r="http://schemas.openxmlformats.org/officeDocument/2006/relationships" ref="I52" r:id="rId103"/>
    <hyperlink xmlns:r="http://schemas.openxmlformats.org/officeDocument/2006/relationships" ref="J52" r:id="rId104"/>
  </hyperlinks>
  <pageMargins left="0.7" right="0.7" top="0.75" bottom="0.75" header="0.3" footer="0.3"/>
  <tableParts count="1">
    <tablePart xmlns:r="http://schemas.openxmlformats.org/officeDocument/2006/relationships" r:id="rId10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selection activeCell="T21" sqref="T21"/>
    </sheetView>
  </sheetViews>
  <sheetFormatPr baseColWidth="10" defaultColWidth="9.140625" defaultRowHeight="15"/>
  <cols>
    <col width="21.140625" customWidth="1" min="1" max="1"/>
    <col width="13.28515625" customWidth="1" min="2" max="2"/>
    <col width="11.7109375" customWidth="1" min="3" max="3"/>
    <col width="2.85546875" customWidth="1" min="4" max="4"/>
    <col width="8.7109375" customWidth="1" min="5" max="12"/>
  </cols>
  <sheetData>
    <row r="1" ht="30" customHeight="1">
      <c r="A1" s="67" t="inlineStr">
        <is>
          <t>Entwicklung der erfassten Insolvenzverfahren</t>
        </is>
      </c>
    </row>
    <row r="2" ht="30" customHeight="1"/>
    <row r="3" ht="24.95" customHeight="1">
      <c r="A3" s="68" t="inlineStr">
        <is>
          <t>Auswertung nach dem Jahr der ersten Veröffentlichung in Spalte B · 2026 ist ein laufendes Jahr.</t>
        </is>
      </c>
    </row>
    <row r="4" ht="20.1" customHeight="1"/>
    <row r="5" ht="24" customHeight="1">
      <c r="A5" s="69" t="inlineStr">
        <is>
          <t>Erfasste Fälle gesamt</t>
        </is>
      </c>
      <c r="C5" s="69" t="n"/>
      <c r="D5" s="69" t="inlineStr">
        <is>
          <t>Fälle 2023</t>
        </is>
      </c>
      <c r="F5" s="69" t="n"/>
      <c r="G5" s="69" t="inlineStr">
        <is>
          <t>Fälle 2026*</t>
        </is>
      </c>
      <c r="I5" s="69" t="n"/>
      <c r="J5" s="69" t="inlineStr">
        <is>
          <t>2026 ggü. 2023</t>
        </is>
      </c>
    </row>
    <row r="6" ht="27.95" customHeight="1">
      <c r="A6" s="74">
        <f>SUM($B$11:$B$21)</f>
        <v/>
      </c>
      <c r="B6" s="75" t="n"/>
      <c r="C6" s="51" t="n"/>
      <c r="D6" s="76">
        <f>$B$18</f>
        <v/>
      </c>
      <c r="E6" s="75" t="n"/>
      <c r="F6" s="51" t="n"/>
      <c r="G6" s="77">
        <f>$B$21</f>
        <v/>
      </c>
      <c r="H6" s="78" t="n"/>
      <c r="J6" s="79">
        <f>IF($B$18=0,"–",$B$21/$B$18-1)</f>
        <v/>
      </c>
      <c r="K6" s="75" t="n"/>
      <c r="L6" s="78" t="n"/>
    </row>
    <row r="7" ht="27.95" customHeight="1">
      <c r="A7" s="80" t="n"/>
      <c r="B7" s="81" t="n"/>
      <c r="C7" s="53" t="n"/>
      <c r="D7" s="81" t="n"/>
      <c r="E7" s="81" t="n"/>
      <c r="F7" s="53" t="n"/>
      <c r="G7" s="81" t="n"/>
      <c r="H7" s="82" t="n"/>
      <c r="J7" s="80" t="n"/>
      <c r="K7" s="81" t="n"/>
      <c r="L7" s="82" t="n"/>
    </row>
    <row r="8" ht="20.1" customHeight="1"/>
    <row r="9" ht="20.1" customHeight="1"/>
    <row r="10" ht="24" customHeight="1">
      <c r="A10" s="32" t="inlineStr">
        <is>
          <t>Jahr</t>
        </is>
      </c>
      <c r="B10" s="33" t="inlineStr">
        <is>
          <t>Neue Verfahren</t>
        </is>
      </c>
      <c r="C10" s="34" t="inlineStr">
        <is>
          <t>Kumuliert</t>
        </is>
      </c>
    </row>
    <row r="11" ht="20.1" customHeight="1">
      <c r="A11" s="35" t="n">
        <v>2016</v>
      </c>
      <c r="B11" s="36">
        <f>COUNTIFS(Datenbank!$B$2:$B$500,"&gt;="&amp;DATE(A11,1,1),Datenbank!$B$2:$B$500,"&lt;"&amp;DATE(A11+1,1,1))</f>
        <v/>
      </c>
      <c r="C11" s="37">
        <f>SUM($B$11:B11)</f>
        <v/>
      </c>
    </row>
    <row r="12" ht="20.1" customHeight="1">
      <c r="A12" s="38" t="n">
        <v>2017</v>
      </c>
      <c r="B12" s="39">
        <f>COUNTIFS(Datenbank!$B$2:$B$500,"&gt;="&amp;DATE(A12,1,1),Datenbank!$B$2:$B$500,"&lt;"&amp;DATE(A12+1,1,1))</f>
        <v/>
      </c>
      <c r="C12" s="40">
        <f>SUM($B$11:B12)</f>
        <v/>
      </c>
    </row>
    <row r="13" ht="20.1" customHeight="1">
      <c r="A13" s="38" t="n">
        <v>2018</v>
      </c>
      <c r="B13" s="39">
        <f>COUNTIFS(Datenbank!$B$2:$B$500,"&gt;="&amp;DATE(A13,1,1),Datenbank!$B$2:$B$500,"&lt;"&amp;DATE(A13+1,1,1))</f>
        <v/>
      </c>
      <c r="C13" s="40">
        <f>SUM($B$11:B13)</f>
        <v/>
      </c>
    </row>
    <row r="14" ht="20.1" customHeight="1">
      <c r="A14" s="38" t="n">
        <v>2019</v>
      </c>
      <c r="B14" s="39">
        <f>COUNTIFS(Datenbank!$B$2:$B$500,"&gt;="&amp;DATE(A14,1,1),Datenbank!$B$2:$B$500,"&lt;"&amp;DATE(A14+1,1,1))</f>
        <v/>
      </c>
      <c r="C14" s="40">
        <f>SUM($B$11:B14)</f>
        <v/>
      </c>
    </row>
    <row r="15" ht="20.1" customHeight="1">
      <c r="A15" s="38" t="n">
        <v>2020</v>
      </c>
      <c r="B15" s="39">
        <f>COUNTIFS(Datenbank!$B$2:$B$500,"&gt;="&amp;DATE(A15,1,1),Datenbank!$B$2:$B$500,"&lt;"&amp;DATE(A15+1,1,1))</f>
        <v/>
      </c>
      <c r="C15" s="40">
        <f>SUM($B$11:B15)</f>
        <v/>
      </c>
    </row>
    <row r="16" ht="20.1" customHeight="1">
      <c r="A16" s="38" t="n">
        <v>2021</v>
      </c>
      <c r="B16" s="39">
        <f>COUNTIFS(Datenbank!$B$2:$B$500,"&gt;="&amp;DATE(A16,1,1),Datenbank!$B$2:$B$500,"&lt;"&amp;DATE(A16+1,1,1))</f>
        <v/>
      </c>
      <c r="C16" s="40">
        <f>SUM($B$11:B16)</f>
        <v/>
      </c>
    </row>
    <row r="17" ht="20.1" customHeight="1">
      <c r="A17" s="38" t="n">
        <v>2022</v>
      </c>
      <c r="B17" s="39">
        <f>COUNTIFS(Datenbank!$B$2:$B$500,"&gt;="&amp;DATE(A17,1,1),Datenbank!$B$2:$B$500,"&lt;"&amp;DATE(A17+1,1,1))</f>
        <v/>
      </c>
      <c r="C17" s="40">
        <f>SUM($B$11:B17)</f>
        <v/>
      </c>
    </row>
    <row r="18" ht="20.1" customHeight="1">
      <c r="A18" s="38" t="n">
        <v>2023</v>
      </c>
      <c r="B18" s="39">
        <f>COUNTIFS(Datenbank!$B$2:$B$500,"&gt;="&amp;DATE(A18,1,1),Datenbank!$B$2:$B$500,"&lt;"&amp;DATE(A18+1,1,1))</f>
        <v/>
      </c>
      <c r="C18" s="40">
        <f>SUM($B$11:B18)</f>
        <v/>
      </c>
    </row>
    <row r="19" ht="20.1" customHeight="1">
      <c r="A19" s="38" t="n">
        <v>2024</v>
      </c>
      <c r="B19" s="39">
        <f>COUNTIFS(Datenbank!$B$2:$B$500,"&gt;="&amp;DATE(A19,1,1),Datenbank!$B$2:$B$500,"&lt;"&amp;DATE(A19+1,1,1))</f>
        <v/>
      </c>
      <c r="C19" s="40">
        <f>SUM($B$11:B19)</f>
        <v/>
      </c>
    </row>
    <row r="20" ht="20.1" customHeight="1">
      <c r="A20" s="38" t="n">
        <v>2025</v>
      </c>
      <c r="B20" s="39">
        <f>COUNTIFS(Datenbank!$B$2:$B$500,"&gt;="&amp;DATE(A20,1,1),Datenbank!$B$2:$B$500,"&lt;"&amp;DATE(A20+1,1,1))</f>
        <v/>
      </c>
      <c r="C20" s="40">
        <f>SUM($B$11:B20)</f>
        <v/>
      </c>
    </row>
    <row r="21" ht="20.1" customHeight="1">
      <c r="A21" s="41" t="n">
        <v>2026</v>
      </c>
      <c r="B21" s="42">
        <f>COUNTIFS(Datenbank!$B$2:$B$500,"&gt;="&amp;DATE(A21,1,1),Datenbank!$B$2:$B$500,"&lt;"&amp;DATE(A21+1,1,1))</f>
        <v/>
      </c>
      <c r="C21" s="43">
        <f>SUM($B$11:B21)</f>
        <v/>
      </c>
    </row>
    <row r="22" ht="20.1" customHeight="1"/>
    <row r="23" ht="27.95" customHeight="1">
      <c r="A23" s="83" t="inlineStr">
        <is>
          <t>Methodik: Jeder Firmeneintrag zählt einmal und wird dem Jahr seiner ersten erfassten Veröffentlichung zugeordnet. Die Auswertung bildet nur die Unternehmen dieser Arbeitsmappe ab; 2026 ist noch kein vollständiges Jahr.</t>
        </is>
      </c>
      <c r="B23" s="84" t="n"/>
      <c r="C23" s="84" t="n"/>
      <c r="D23" s="84" t="n"/>
      <c r="E23" s="84" t="n"/>
      <c r="F23" s="84" t="n"/>
      <c r="G23" s="84" t="n"/>
      <c r="H23" s="84" t="n"/>
      <c r="I23" s="84" t="n"/>
      <c r="J23" s="84" t="n"/>
      <c r="K23" s="84" t="n"/>
      <c r="L23" s="85" t="n"/>
    </row>
    <row r="24" ht="27.95" customHeight="1">
      <c r="A24" s="86" t="n"/>
      <c r="B24" s="87" t="n"/>
      <c r="C24" s="87" t="n"/>
      <c r="D24" s="87" t="n"/>
      <c r="E24" s="87" t="n"/>
      <c r="F24" s="87" t="n"/>
      <c r="G24" s="87" t="n"/>
      <c r="H24" s="87" t="n"/>
      <c r="I24" s="87" t="n"/>
      <c r="J24" s="87" t="n"/>
      <c r="K24" s="87" t="n"/>
      <c r="L24" s="88" t="n"/>
    </row>
    <row r="25" ht="20.1" customHeight="1"/>
    <row r="26" ht="20.1" customHeight="1">
      <c r="A26" s="70" t="inlineStr">
        <is>
          <t>Erste Veröffentlichung im Datensatz</t>
        </is>
      </c>
      <c r="D26" s="71">
        <f>MIN(Datenbank!$B$2:$B$500)</f>
        <v/>
      </c>
    </row>
    <row r="27" ht="20.1" customHeight="1">
      <c r="A27" s="70" t="inlineStr">
        <is>
          <t>Jüngster erfasster Verfahrensstart</t>
        </is>
      </c>
      <c r="D27" s="71">
        <f>MAX(Datenbank!$B$2:$B$500)</f>
        <v/>
      </c>
    </row>
  </sheetData>
  <mergeCells count="15">
    <mergeCell ref="J5:L5"/>
    <mergeCell ref="J6:L7"/>
    <mergeCell ref="A23:L24"/>
    <mergeCell ref="G6:H7"/>
    <mergeCell ref="D27:E27"/>
    <mergeCell ref="D5:E5"/>
    <mergeCell ref="A1:L2"/>
    <mergeCell ref="A6:B7"/>
    <mergeCell ref="A5:B5"/>
    <mergeCell ref="A27:C27"/>
    <mergeCell ref="D6:E7"/>
    <mergeCell ref="G5:H5"/>
    <mergeCell ref="A3:L3"/>
    <mergeCell ref="D26:E26"/>
    <mergeCell ref="A26:C2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2026-07-30T11:53:56Z</dcterms:created>
  <dcterms:modified xsi:type="dcterms:W3CDTF">2026-08-03T09:23:05Z</dcterms:modified>
  <cp:lastModifiedBy>Neal, Jeffrey</cp:lastModifiedBy>
</cp:coreProperties>
</file>