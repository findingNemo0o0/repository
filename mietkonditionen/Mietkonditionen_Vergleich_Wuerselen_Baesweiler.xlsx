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6320" windowWidth="29040" windowHeight="15720" tabRatio="600" firstSheet="0" activeTab="1" autoFilterDateGrouping="1"/>
  </bookViews>
  <sheets>
    <sheet name="Short Version" sheetId="1" state="visible" r:id="rId1"/>
    <sheet name="Long Version" sheetId="2" state="visible" r:id="rId2"/>
  </sheets>
  <definedNames>
    <definedName name="_xlnm.Print_Area" localSheetId="0">'Short Version'!$B$2:$F$43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#,##0.00\ &quot;€&quot;"/>
    <numFmt numFmtId="165" formatCode="0&quot;qm&quot;"/>
    <numFmt numFmtId="166" formatCode="#,##0\ &quot;€&quot;;[Red]\-#,##0\ &quot;€&quot;"/>
    <numFmt numFmtId="167" formatCode="#,##0.00\ &quot;€&quot;;[Red]\-#,##0.00\ &quot;€&quot;"/>
    <numFmt numFmtId="168" formatCode="yyyy-mm-dd h:mm:ss"/>
  </numFmts>
  <fonts count="7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rgb="FF0000FF"/>
      <sz val="11"/>
      <scheme val="minor"/>
    </font>
    <font>
      <name val="Aptos Narrow"/>
      <family val="2"/>
      <b val="1"/>
      <color rgb="FF0000FF"/>
      <sz val="11"/>
      <scheme val="minor"/>
    </font>
    <font>
      <name val="Aptos Narrow"/>
      <family val="2"/>
      <i val="1"/>
      <color theme="1"/>
      <sz val="11"/>
      <scheme val="minor"/>
    </font>
    <font>
      <name val="Aptos Narrow"/>
      <family val="2"/>
      <sz val="11"/>
      <scheme val="minor"/>
    </font>
    <font>
      <name val="Aptos Narrow"/>
      <i val="1"/>
      <color rgb="FF808080"/>
      <sz val="10"/>
    </font>
  </fonts>
  <fills count="5">
    <fill>
      <patternFill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8999908444471572"/>
        <bgColor indexed="64"/>
      </patternFill>
    </fill>
  </fills>
  <borders count="2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249946592608417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theme="0" tint="-0.249946592608417"/>
      </bottom>
      <diagonal/>
    </border>
    <border>
      <left style="thin">
        <color indexed="64"/>
      </left>
      <right/>
      <top style="thin">
        <color theme="0" tint="-0.249946592608417"/>
      </top>
      <bottom style="thin">
        <color theme="0" tint="-0.249946592608417"/>
      </bottom>
      <diagonal/>
    </border>
    <border>
      <left style="thin">
        <color indexed="64"/>
      </left>
      <right/>
      <top style="thin">
        <color theme="0" tint="-0.249946592608417"/>
      </top>
      <bottom style="medium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thin">
        <color theme="0" tint="-0.249946592608417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medium"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13" applyAlignment="1" pivotButton="0" quotePrefix="0" xfId="0">
      <alignment vertical="center"/>
    </xf>
    <xf numFmtId="0" fontId="1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1" fillId="0" borderId="1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1" fillId="0" borderId="1" applyAlignment="1" pivotButton="0" quotePrefix="0" xfId="0">
      <alignment horizontal="left" vertical="center"/>
    </xf>
    <xf numFmtId="0" fontId="1" fillId="0" borderId="1" applyAlignment="1" pivotButton="0" quotePrefix="0" xfId="0">
      <alignment horizontal="right" vertical="center"/>
    </xf>
    <xf numFmtId="164" fontId="0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2" fillId="0" borderId="11" applyAlignment="1" pivotButton="0" quotePrefix="0" xfId="0">
      <alignment vertical="center"/>
    </xf>
    <xf numFmtId="164" fontId="2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0" fontId="3" fillId="0" borderId="12" applyAlignment="1" pivotButton="0" quotePrefix="0" xfId="0">
      <alignment vertical="center"/>
    </xf>
    <xf numFmtId="164" fontId="3" fillId="0" borderId="0" applyAlignment="1" pivotButton="0" quotePrefix="0" xfId="0">
      <alignment vertical="center"/>
    </xf>
    <xf numFmtId="164" fontId="1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0" fillId="0" borderId="4" applyAlignment="1" pivotButton="0" quotePrefix="0" xfId="0">
      <alignment horizontal="left" vertical="center" indent="1"/>
    </xf>
    <xf numFmtId="0" fontId="1" fillId="2" borderId="1" applyAlignment="1" pivotButton="0" quotePrefix="0" xfId="0">
      <alignment horizontal="left" vertical="center"/>
    </xf>
    <xf numFmtId="0" fontId="1" fillId="2" borderId="1" applyAlignment="1" pivotButton="0" quotePrefix="0" xfId="0">
      <alignment horizontal="right" vertical="center"/>
    </xf>
    <xf numFmtId="0" fontId="2" fillId="4" borderId="7" applyAlignment="1" pivotButton="0" quotePrefix="0" xfId="0">
      <alignment vertical="center"/>
    </xf>
    <xf numFmtId="0" fontId="0" fillId="4" borderId="4" applyAlignment="1" pivotButton="0" quotePrefix="0" xfId="0">
      <alignment vertical="center"/>
    </xf>
    <xf numFmtId="0" fontId="2" fillId="4" borderId="7" applyAlignment="1" pivotButton="0" quotePrefix="0" xfId="0">
      <alignment horizontal="left" vertical="center"/>
    </xf>
    <xf numFmtId="165" fontId="2" fillId="4" borderId="7" applyAlignment="1" pivotButton="0" quotePrefix="0" xfId="0">
      <alignment horizontal="left" vertical="center"/>
    </xf>
    <xf numFmtId="14" fontId="2" fillId="4" borderId="7" applyAlignment="1" pivotButton="0" quotePrefix="0" xfId="0">
      <alignment horizontal="left" vertical="center"/>
    </xf>
    <xf numFmtId="165" fontId="2" fillId="4" borderId="9" applyAlignment="1" pivotButton="0" quotePrefix="0" xfId="0">
      <alignment vertical="center"/>
    </xf>
    <xf numFmtId="164" fontId="2" fillId="4" borderId="2" applyAlignment="1" pivotButton="0" quotePrefix="0" xfId="0">
      <alignment vertical="center"/>
    </xf>
    <xf numFmtId="165" fontId="2" fillId="4" borderId="10" applyAlignment="1" pivotButton="0" quotePrefix="0" xfId="0">
      <alignment vertical="center"/>
    </xf>
    <xf numFmtId="164" fontId="2" fillId="4" borderId="3" applyAlignment="1" pivotButton="0" quotePrefix="0" xfId="0">
      <alignment vertical="center"/>
    </xf>
    <xf numFmtId="0" fontId="2" fillId="4" borderId="10" applyAlignment="1" pivotButton="0" quotePrefix="0" xfId="0">
      <alignment vertical="center"/>
    </xf>
    <xf numFmtId="0" fontId="2" fillId="4" borderId="4" applyAlignment="1" pivotButton="0" quotePrefix="0" xfId="0">
      <alignment vertical="center"/>
    </xf>
    <xf numFmtId="0" fontId="2" fillId="4" borderId="6" applyAlignment="1" pivotButton="0" quotePrefix="0" xfId="0">
      <alignment vertical="center"/>
    </xf>
    <xf numFmtId="164" fontId="2" fillId="4" borderId="14" applyAlignment="1" pivotButton="0" quotePrefix="0" xfId="0">
      <alignment vertical="center"/>
    </xf>
    <xf numFmtId="164" fontId="2" fillId="4" borderId="15" applyAlignment="1" pivotButton="0" quotePrefix="0" xfId="0">
      <alignment vertical="center"/>
    </xf>
    <xf numFmtId="164" fontId="2" fillId="4" borderId="16" applyAlignment="1" pivotButton="0" quotePrefix="0" xfId="0">
      <alignment vertical="center"/>
    </xf>
    <xf numFmtId="164" fontId="2" fillId="4" borderId="17" applyAlignment="1" pivotButton="0" quotePrefix="0" xfId="0">
      <alignment vertical="center"/>
    </xf>
    <xf numFmtId="164" fontId="2" fillId="4" borderId="7" applyAlignment="1" pivotButton="0" quotePrefix="0" xfId="0">
      <alignment horizontal="left" vertical="center"/>
    </xf>
    <xf numFmtId="164" fontId="5" fillId="0" borderId="7" applyAlignment="1" pivotButton="0" quotePrefix="0" xfId="0">
      <alignment horizontal="left" vertical="center"/>
    </xf>
    <xf numFmtId="166" fontId="2" fillId="4" borderId="7" applyAlignment="1" pivotButton="0" quotePrefix="0" xfId="0">
      <alignment horizontal="left" vertical="center"/>
    </xf>
    <xf numFmtId="167" fontId="2" fillId="4" borderId="7" applyAlignment="1" pivotButton="0" quotePrefix="0" xfId="0">
      <alignment horizontal="left" vertical="center"/>
    </xf>
    <xf numFmtId="166" fontId="2" fillId="4" borderId="4" applyAlignment="1" pivotButton="0" quotePrefix="0" xfId="0">
      <alignment horizontal="left" vertical="center"/>
    </xf>
    <xf numFmtId="0" fontId="2" fillId="4" borderId="7" applyAlignment="1" pivotButton="0" quotePrefix="0" xfId="0">
      <alignment horizontal="left" vertical="center" wrapText="1"/>
    </xf>
    <xf numFmtId="0" fontId="6" fillId="0" borderId="0" pivotButton="0" quotePrefix="0" xfId="0"/>
    <xf numFmtId="0" fontId="6" fillId="4" borderId="4" applyAlignment="1" pivotButton="0" quotePrefix="0" xfId="0">
      <alignment vertical="center"/>
    </xf>
    <xf numFmtId="0" fontId="6" fillId="0" borderId="4" applyAlignment="1" pivotButton="0" quotePrefix="0" xfId="0">
      <alignment vertical="center"/>
    </xf>
    <xf numFmtId="0" fontId="2" fillId="4" borderId="7" applyAlignment="1" pivotButton="0" quotePrefix="0" xfId="0">
      <alignment vertical="center" wrapText="1"/>
    </xf>
    <xf numFmtId="0" fontId="2" fillId="4" borderId="7" applyAlignment="1" pivotButton="0" quotePrefix="0" xfId="0">
      <alignment horizontal="left" vertical="center" wrapText="1"/>
    </xf>
    <xf numFmtId="0" fontId="0" fillId="0" borderId="4" pivotButton="0" quotePrefix="0" xfId="0"/>
    <xf numFmtId="0" fontId="2" fillId="2" borderId="18" applyAlignment="1" pivotButton="0" quotePrefix="0" xfId="0">
      <alignment horizontal="left" vertical="center"/>
    </xf>
    <xf numFmtId="0" fontId="2" fillId="2" borderId="19" applyAlignment="1" pivotButton="0" quotePrefix="0" xfId="0">
      <alignment horizontal="left" vertical="center"/>
    </xf>
    <xf numFmtId="0" fontId="2" fillId="2" borderId="20" applyAlignment="1" pivotButton="0" quotePrefix="0" xfId="0">
      <alignment horizontal="left" vertical="center"/>
    </xf>
    <xf numFmtId="164" fontId="2" fillId="4" borderId="21" applyAlignment="1" pivotButton="0" quotePrefix="0" xfId="0">
      <alignment vertical="center"/>
    </xf>
    <xf numFmtId="0" fontId="0" fillId="0" borderId="12" applyAlignment="1" pivotButton="0" quotePrefix="0" xfId="0">
      <alignment vertical="center"/>
    </xf>
    <xf numFmtId="0" fontId="1" fillId="0" borderId="12" applyAlignment="1" pivotButton="0" quotePrefix="0" xfId="0">
      <alignment vertical="center"/>
    </xf>
    <xf numFmtId="0" fontId="2" fillId="2" borderId="13" applyAlignment="1" pivotButton="0" quotePrefix="0" xfId="0">
      <alignment horizontal="left" vertical="center"/>
    </xf>
    <xf numFmtId="0" fontId="0" fillId="0" borderId="19" pivotButton="0" quotePrefix="0" xfId="0"/>
    <xf numFmtId="0" fontId="0" fillId="0" borderId="20" pivotButton="0" quotePrefix="0" xfId="0"/>
    <xf numFmtId="167" fontId="2" fillId="4" borderId="7" applyAlignment="1" pivotButton="0" quotePrefix="0" xfId="0">
      <alignment horizontal="left" vertical="center"/>
    </xf>
    <xf numFmtId="166" fontId="2" fillId="4" borderId="7" applyAlignment="1" pivotButton="0" quotePrefix="0" xfId="0">
      <alignment horizontal="left" vertical="center"/>
    </xf>
    <xf numFmtId="166" fontId="2" fillId="4" borderId="4" applyAlignment="1" pivotButton="0" quotePrefix="0" xfId="0">
      <alignment horizontal="left" vertical="center"/>
    </xf>
    <xf numFmtId="0" fontId="0" fillId="0" borderId="25" pivotButton="0" quotePrefix="0" xfId="0"/>
  </cellXfs>
  <cellStyles count="1">
    <cellStyle name="Standard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42"/>
  <sheetViews>
    <sheetView showGridLines="0" view="pageBreakPreview" zoomScale="124" zoomScaleNormal="104" zoomScaleSheetLayoutView="220"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C7" sqref="C7"/>
    </sheetView>
  </sheetViews>
  <sheetFormatPr baseColWidth="10" defaultColWidth="11.453125" defaultRowHeight="14.5"/>
  <cols>
    <col width="3.81640625" customWidth="1" style="2" min="1" max="1"/>
    <col width="37.81640625" bestFit="1" customWidth="1" style="2" min="2" max="2"/>
    <col width="11.54296875" customWidth="1" style="2" min="3" max="3"/>
    <col width="12.81640625" customWidth="1" style="2" min="4" max="6"/>
    <col width="11.453125" customWidth="1" style="2" min="7" max="8"/>
    <col width="11.453125" customWidth="1" style="2" min="9" max="16384"/>
  </cols>
  <sheetData>
    <row r="2">
      <c r="B2" s="1" t="inlineStr">
        <is>
          <t>Übersicht Mietvertragskonditionen</t>
        </is>
      </c>
    </row>
    <row r="4">
      <c r="B4" s="3" t="inlineStr">
        <is>
          <t>Standort:</t>
        </is>
      </c>
      <c r="C4" s="25" t="inlineStr">
        <is>
          <t>Würselen (Target)</t>
        </is>
      </c>
      <c r="D4" s="25" t="inlineStr">
        <is>
          <t>Baesweiler (Bestand)</t>
        </is>
      </c>
      <c r="E4" s="47" t="inlineStr">
        <is>
          <t>Anmerkung / Quelle</t>
        </is>
      </c>
    </row>
    <row r="6">
      <c r="B6" s="4" t="inlineStr">
        <is>
          <t>Eckdaten der Immobilie</t>
        </is>
      </c>
      <c r="C6" s="5" t="n"/>
      <c r="D6" s="5" t="n"/>
      <c r="E6" s="5" t="n"/>
      <c r="F6" s="5" t="n"/>
    </row>
    <row r="7">
      <c r="B7" s="6" t="inlineStr">
        <is>
          <t>Eigentümer</t>
        </is>
      </c>
      <c r="C7" s="25" t="inlineStr">
        <is>
          <t>Beginen Kempe GbR</t>
        </is>
      </c>
      <c r="D7" s="25" t="inlineStr">
        <is>
          <t>Jans &amp; Willems GbR</t>
        </is>
      </c>
      <c r="E7" s="26" t="n"/>
      <c r="F7" s="26" t="n"/>
    </row>
    <row r="8">
      <c r="B8" s="6" t="inlineStr">
        <is>
          <t>Vermieter</t>
        </is>
      </c>
      <c r="C8" s="25" t="inlineStr">
        <is>
          <t>Beginen Kempe GbR</t>
        </is>
      </c>
      <c r="D8" s="25" t="inlineStr">
        <is>
          <t>Jans &amp; Willems GbR</t>
        </is>
      </c>
      <c r="E8" s="48" t="inlineStr">
        <is>
          <t>Würselen: ursprünglich Albert Beginen, Einbringung in die GbR per 1. Nachtrag</t>
        </is>
      </c>
      <c r="F8" s="26" t="n"/>
    </row>
    <row r="9">
      <c r="B9" s="6" t="inlineStr">
        <is>
          <t>Mieter</t>
        </is>
      </c>
      <c r="C9" s="25" t="inlineStr">
        <is>
          <t>AirHome Intensivpflege GmbH</t>
        </is>
      </c>
      <c r="D9" s="25" t="inlineStr">
        <is>
          <t>365° Pflegezentrum Marianne Weiß GmbH</t>
        </is>
      </c>
      <c r="E9" s="48" t="inlineStr">
        <is>
          <t>Baesweiler: opseo-Gruppe (Muttergesellschaft opseo Intensivpflege Holding B.V.)</t>
        </is>
      </c>
      <c r="F9" s="26" t="n"/>
    </row>
    <row r="10">
      <c r="B10" s="6" t="inlineStr">
        <is>
          <t>Cluster</t>
        </is>
      </c>
      <c r="C10" s="25" t="inlineStr">
        <is>
          <t>StädteRegion Aachen</t>
        </is>
      </c>
      <c r="D10" s="25" t="inlineStr">
        <is>
          <t>StädteRegion Aachen</t>
        </is>
      </c>
      <c r="E10" s="48" t="inlineStr">
        <is>
          <t>Cluster-Zuordnung bitte gegen interne Systematik prüfen</t>
        </is>
      </c>
      <c r="F10" s="26" t="n"/>
    </row>
    <row r="11">
      <c r="B11" s="6" t="inlineStr">
        <is>
          <t>Adresse</t>
        </is>
      </c>
      <c r="C11" s="25" t="inlineStr">
        <is>
          <t>Mauerfeldchen 27, 52146 Würselen</t>
        </is>
      </c>
      <c r="D11" s="25" t="inlineStr">
        <is>
          <t>Lessingstr. 3, 52499 Baesweiler</t>
        </is>
      </c>
      <c r="E11" s="26" t="n"/>
      <c r="F11" s="26" t="n"/>
    </row>
    <row r="12">
      <c r="B12" s="6" t="inlineStr">
        <is>
          <t>Expansion oder Replacement?</t>
        </is>
      </c>
      <c r="C12" s="25" t="inlineStr">
        <is>
          <t>XXX</t>
        </is>
      </c>
      <c r="D12" s="25" t="inlineStr">
        <is>
          <t>XXX</t>
        </is>
      </c>
      <c r="E12" s="48" t="inlineStr">
        <is>
          <t>Deal-Kategorie – nicht aus den Mietverträgen ableitbar</t>
        </is>
      </c>
      <c r="F12" s="26" t="n"/>
    </row>
    <row r="13">
      <c r="B13" s="6" t="inlineStr">
        <is>
          <t>Neubau oder Bestand? Baujahr?</t>
        </is>
      </c>
      <c r="C13" s="25" t="inlineStr">
        <is>
          <t>Bestand</t>
        </is>
      </c>
      <c r="D13" s="25" t="inlineStr">
        <is>
          <t>Bestand</t>
        </is>
      </c>
      <c r="E13" s="48" t="inlineStr">
        <is>
          <t>Würselen: Umbau/Erweiterung eines bestehenden Wohnheims (Werkplanung 2019). Baujahr in keinem Vertrag genannt.</t>
        </is>
      </c>
      <c r="F13" s="26" t="n"/>
    </row>
    <row r="14">
      <c r="B14" s="6" t="inlineStr">
        <is>
          <t>Lage der Mietfläche (z.B. EG, 1. OG)</t>
        </is>
      </c>
      <c r="C14" s="25" t="inlineStr">
        <is>
          <t>2., 3. und 1. OG; Keller</t>
        </is>
      </c>
      <c r="D14" s="25" t="inlineStr">
        <is>
          <t>XXX</t>
        </is>
      </c>
      <c r="E14" s="48" t="inlineStr">
        <is>
          <t>Würselen: die 59 qm liegen laut 1. Nachtrag im 4. OG. Baesweiler: Etagenlage im Vertrag nicht geregelt; EG-Wohnung nicht Mietgegenstand.</t>
        </is>
      </c>
      <c r="F14" s="26" t="n"/>
    </row>
    <row r="15">
      <c r="B15" s="6" t="inlineStr">
        <is>
          <t>Kapazität (Anzahl Betten)</t>
        </is>
      </c>
      <c r="C15" s="25" t="inlineStr">
        <is>
          <t>XXX</t>
        </is>
      </c>
      <c r="D15" s="25" t="n">
        <v>18</v>
      </c>
      <c r="E15" s="48" t="inlineStr">
        <is>
          <t>Würselen: Bettenzahl in keinem der 4 Dokumente genannt – vom Target anzufordern. Baesweiler: ca. 18 Patientenzimmer (§1.1); die NK-Kalkulation (250 €/Platz = 4.700 €) impliziert jedoch 18,8 Plätze.</t>
        </is>
      </c>
      <c r="F15" s="26" t="n"/>
    </row>
    <row r="16">
      <c r="B16" s="6" t="inlineStr">
        <is>
          <t>Beschreibung der Nutzung</t>
        </is>
      </c>
      <c r="C16" s="25" t="inlineStr">
        <is>
          <t>Wohnheim mit Intensivpflege</t>
        </is>
      </c>
      <c r="D16" s="25" t="inlineStr">
        <is>
          <t>Intensivpflege-Wohngemeinschaft</t>
        </is>
      </c>
      <c r="E16" s="26" t="n"/>
      <c r="F16" s="26" t="n"/>
    </row>
    <row r="17">
      <c r="B17" s="6" t="inlineStr">
        <is>
          <t>Bürofläche enthalten?</t>
        </is>
      </c>
      <c r="C17" s="25" t="inlineStr">
        <is>
          <t>nur Nebenflächen</t>
        </is>
      </c>
      <c r="D17" s="25" t="inlineStr">
        <is>
          <t>Ja</t>
        </is>
      </c>
      <c r="E17" s="48" t="inlineStr">
        <is>
          <t>Würselen: der Vertrag nennt nur "Nebenflächen", eine eigene Bürofläche ist nicht beziffert.</t>
        </is>
      </c>
      <c r="F17" s="26" t="n"/>
    </row>
    <row r="18">
      <c r="B18" s="6" t="n"/>
      <c r="C18" s="6" t="n"/>
      <c r="D18" s="6" t="n"/>
      <c r="E18" s="6" t="n"/>
      <c r="F18" s="6" t="n"/>
    </row>
    <row r="19">
      <c r="B19" s="4" t="inlineStr">
        <is>
          <t>Miete und weitere Kosten</t>
        </is>
      </c>
      <c r="C19" s="5" t="n"/>
      <c r="D19" s="5" t="n"/>
      <c r="E19" s="5" t="n"/>
      <c r="F19" s="5" t="n"/>
    </row>
    <row r="20">
      <c r="B20" s="6" t="inlineStr">
        <is>
          <t>Größe der Fläche (in qm)</t>
        </is>
      </c>
      <c r="C20" s="28" t="n">
        <v>1104.6</v>
      </c>
      <c r="D20" s="28" t="n">
        <v>1082</v>
      </c>
      <c r="E20" s="48" t="inlineStr">
        <is>
          <t>Würselen 1.104,60 qm (695,28 qm 2./3. OG + 350,32 qm 1. OG + 59,00 qm 4. OG); Keller 88,65 qm zusätzlich unter "Weitere Kosten". OFFEN: Läge die 59-qm-Fläche im 1. OG statt im 4. OG, wäre sie im "kompletten 1. OG" des 3. Nachtrags enthalten und doppelt gezählt – die Fläche wäre dann 1.045,60 qm bei unveränderter Miete. Baesweiler ca. 1.082 qm (§1.1).</t>
        </is>
      </c>
      <c r="F20" s="26" t="n"/>
    </row>
    <row r="21">
      <c r="B21" s="6" t="inlineStr">
        <is>
          <t>Nettokaltmiete/qm</t>
        </is>
      </c>
      <c r="C21" s="41" t="n">
        <v>12.5</v>
      </c>
      <c r="D21" s="41">
        <f>+D22/D20</f>
        <v/>
      </c>
      <c r="E21" s="48" t="inlineStr">
        <is>
          <t>Baesweiler ist eine Pauschalmiete (8.500 €); der qm-Preis ist rechnerisch abgeleitet, nicht vertraglich vereinbart.</t>
        </is>
      </c>
      <c r="F21" s="26" t="n"/>
    </row>
    <row r="22">
      <c r="B22" s="22" t="inlineStr">
        <is>
          <t>Nettokaltmiete pro Monat</t>
        </is>
      </c>
      <c r="C22" s="42">
        <f>+C21*C20</f>
        <v/>
      </c>
      <c r="D22" s="42" t="n">
        <v>8500</v>
      </c>
      <c r="E22" s="6" t="n"/>
      <c r="F22" s="6" t="n"/>
    </row>
    <row r="23">
      <c r="B23" s="22" t="inlineStr">
        <is>
          <t>Nettokaltmiete pro Jahr</t>
        </is>
      </c>
      <c r="C23" s="42">
        <f>+C22*12</f>
        <v/>
      </c>
      <c r="D23" s="42">
        <f>+D22*12</f>
        <v/>
      </c>
      <c r="E23" s="6" t="n"/>
      <c r="F23" s="6" t="n"/>
    </row>
    <row r="24">
      <c r="B24" s="6" t="inlineStr">
        <is>
          <t>Nebenkosten/qm</t>
        </is>
      </c>
      <c r="C24" s="41" t="n">
        <v>3.5</v>
      </c>
      <c r="D24" s="41">
        <f>+D25/D20</f>
        <v/>
      </c>
      <c r="E24" s="26" t="n"/>
      <c r="F24" s="26" t="n"/>
    </row>
    <row r="25">
      <c r="B25" s="22" t="inlineStr">
        <is>
          <t>Nebenkosten pro Monat</t>
        </is>
      </c>
      <c r="C25" s="42">
        <f>+C24*C20</f>
        <v/>
      </c>
      <c r="D25" s="42" t="n">
        <v>4700</v>
      </c>
      <c r="E25" s="49" t="inlineStr">
        <is>
          <t>Würselen 3.866,10 € rechnerisch; die Verträge weisen 3.866,12 € aus (Rundung der NK-Basis 754,28 qm auf 2.640,00 €). Baesweiler 250 €/Pflegeplatz, vertraglich mit 4.700 € beziffert (§4.2).</t>
        </is>
      </c>
      <c r="F25" s="6" t="n"/>
    </row>
    <row r="26">
      <c r="B26" s="22" t="inlineStr">
        <is>
          <t>Nebenkosten pro Jahr</t>
        </is>
      </c>
      <c r="C26" s="42">
        <f>+C25*12</f>
        <v/>
      </c>
      <c r="D26" s="42">
        <f>+D25*12</f>
        <v/>
      </c>
      <c r="E26" s="6" t="n"/>
      <c r="F26" s="6" t="n"/>
    </row>
    <row r="27">
      <c r="B27" s="6" t="inlineStr">
        <is>
          <t>Anzahl Stellplätze</t>
        </is>
      </c>
      <c r="C27" s="27" t="n">
        <v>14</v>
      </c>
      <c r="D27" s="27" t="n">
        <v>0</v>
      </c>
      <c r="E27" s="48" t="inlineStr">
        <is>
          <t>Würselen: 11 Außenstellplätze (6 à 30 €, 5 à 60 €) + 3 TG-Stellplätze à 60 € = 660 €/Monat; C28 ist der Mischpreis. Baesweiler: Stellplätze im Vertrag nicht geregelt.</t>
        </is>
      </c>
      <c r="F27" s="26" t="n"/>
    </row>
    <row r="28">
      <c r="B28" s="6" t="inlineStr">
        <is>
          <t>Preis pro Stellplatz</t>
        </is>
      </c>
      <c r="C28" s="41" t="n">
        <v>47.14285714285715</v>
      </c>
      <c r="D28" s="41" t="n">
        <v>0</v>
      </c>
      <c r="E28" s="26" t="n"/>
      <c r="F28" s="26" t="n"/>
    </row>
    <row r="29">
      <c r="B29" s="22" t="inlineStr">
        <is>
          <t>Kosten Stellplätze pro Monat</t>
        </is>
      </c>
      <c r="C29" s="42">
        <f>+C27*C28</f>
        <v/>
      </c>
      <c r="D29" s="42">
        <f>+D27*D28</f>
        <v/>
      </c>
      <c r="E29" s="6" t="n"/>
      <c r="F29" s="6" t="n"/>
    </row>
    <row r="30">
      <c r="B30" s="22" t="inlineStr">
        <is>
          <t>Kosten Stellplätze pro Jahr</t>
        </is>
      </c>
      <c r="C30" s="42">
        <f>+C29*12</f>
        <v/>
      </c>
      <c r="D30" s="42">
        <f>+D29*12</f>
        <v/>
      </c>
      <c r="E30" s="6" t="n"/>
      <c r="F30" s="6" t="n"/>
    </row>
    <row r="31">
      <c r="B31" s="6" t="inlineStr">
        <is>
          <t>Weitere Kosten (Terasse, Verwaltung etc.)</t>
        </is>
      </c>
      <c r="C31" s="25" t="inlineStr">
        <is>
          <t>Keller 443 €/Mon.; Statik 1. OG 600 €/Mon.</t>
        </is>
      </c>
      <c r="D31" s="25" t="inlineStr">
        <is>
          <t>Strom separat; Inventar gestellt</t>
        </is>
      </c>
      <c r="E31" s="26" t="n"/>
      <c r="F31" s="26" t="n"/>
    </row>
    <row r="32">
      <c r="B32" s="6" t="inlineStr">
        <is>
          <t>Baukostenzuschuss in €</t>
        </is>
      </c>
      <c r="C32" s="41" t="n">
        <v>0</v>
      </c>
      <c r="D32" s="41" t="n">
        <v>0</v>
      </c>
      <c r="E32" s="26" t="n"/>
      <c r="F32" s="26" t="n"/>
    </row>
    <row r="33">
      <c r="B33" s="6" t="inlineStr">
        <is>
          <t>Erläuterung Baukostenzuschuss</t>
        </is>
      </c>
      <c r="C33" s="25" t="inlineStr">
        <is>
          <t>kein BKZ; faktisch 600 €/Mon. für Statik</t>
        </is>
      </c>
      <c r="D33" s="25" t="inlineStr">
        <is>
          <t>kein BKZ; Inventar gestellt</t>
        </is>
      </c>
      <c r="E33" s="48" t="inlineStr">
        <is>
          <t>Würselen: die 600 €/Monat aus dem 3. Nachtrag laufen dauerhaft mit der Miete und wirken damit wie ein über die Laufzeit amortisierter Baukostenzuschuss (rd. 54.000 € bis Vertragsende).</t>
        </is>
      </c>
      <c r="F33" s="26" t="n"/>
    </row>
    <row r="34">
      <c r="B34" s="6" t="inlineStr">
        <is>
          <t>Capex</t>
        </is>
      </c>
      <c r="C34" s="41" t="n">
        <v>0</v>
      </c>
      <c r="D34" s="41" t="n">
        <v>0</v>
      </c>
      <c r="E34" s="48" t="inlineStr">
        <is>
          <t>Capex nicht aus Mietverträgen ableitbar – aus Target-Unterlagen zu ergänzen. Baesweiler tendenziell reduziert, da Inventar vermieterseitig gestellt.</t>
        </is>
      </c>
      <c r="F34" s="26" t="n"/>
    </row>
    <row r="35">
      <c r="B35" s="6" t="n"/>
      <c r="C35" s="6" t="n"/>
      <c r="D35" s="6" t="n"/>
      <c r="E35" s="6" t="n"/>
      <c r="F35" s="6" t="n"/>
    </row>
    <row r="36">
      <c r="B36" s="4" t="inlineStr">
        <is>
          <t>Laufzeit etc.</t>
        </is>
      </c>
      <c r="C36" s="5" t="n"/>
      <c r="D36" s="5" t="n"/>
      <c r="E36" s="5" t="n"/>
      <c r="F36" s="5" t="n"/>
    </row>
    <row r="37">
      <c r="B37" s="6" t="inlineStr">
        <is>
          <t>Geplanter Mietbeginn</t>
        </is>
      </c>
      <c r="C37" s="29" t="n">
        <v>44301</v>
      </c>
      <c r="D37" s="29" t="inlineStr">
        <is>
          <t>XXX</t>
        </is>
      </c>
      <c r="E37" s="48" t="inlineStr">
        <is>
          <t>Würselen – bestätigte Übergaben: 15.04.2021 (2./3. OG, 59 qm, 9 Stellplätze), 15.04.2022 (Keller Nr. 09, 2 Stellplätze). Nur vereinbarte Starttermine ohne Übergabebestätigung: 15.04.2023 (Keller 70 qm) und 15.10.2023 (1. OG, 3 Stellplätze; ausdrücklich nur "voraussichtlich"). ACHTUNG: Die hier angesetzte Gesamtmiete von 19.376,87 € gilt erst ab Übergabe des 1. OG – ohne diese liegt sie bei 12.991,75 €. Übergabeprotokoll beim Target anfordern. Laufzeitbeginn 01.05.2021 (§5.2). Baesweiler: Monatserster nach Vollzug des Kaufvertrags Kuijpers v. 17.03.2023 (§2.1) – Vollzugsdatum zu bestätigen.</t>
        </is>
      </c>
      <c r="F37" s="26" t="n"/>
    </row>
    <row r="38">
      <c r="B38" s="6" t="inlineStr">
        <is>
          <t>Festlaufzeit</t>
        </is>
      </c>
      <c r="C38" s="25" t="inlineStr">
        <is>
          <t>10 Jahre</t>
        </is>
      </c>
      <c r="D38" s="25" t="inlineStr">
        <is>
          <t>5 Jahre</t>
        </is>
      </c>
      <c r="E38" s="48" t="inlineStr">
        <is>
          <t>Würselen: §5.2 → Ende 30.04.2031, der 3. Nachtrag formuliert dagegen 14.04.2031. Baesweiler: WIDERSPRUCH – §2.2 schließt die Kündigung 5 Jahre aus, §2.3 räumt das Optionsrecht erst nach 10 Mietjahren ein, §4.1 fixiert die Miete für 10 Jahre. Klärungsbedarf.</t>
        </is>
      </c>
      <c r="F38" s="26" t="n"/>
    </row>
    <row r="39">
      <c r="B39" s="6" t="inlineStr">
        <is>
          <t>Verlängerungsoptionen</t>
        </is>
      </c>
      <c r="C39" s="25" t="inlineStr">
        <is>
          <t>2x 5 Jahre</t>
        </is>
      </c>
      <c r="D39" s="25" t="inlineStr">
        <is>
          <t>2x 5 Jahre</t>
        </is>
      </c>
      <c r="E39" s="26" t="n"/>
      <c r="F39" s="26" t="n"/>
    </row>
    <row r="40">
      <c r="B40" s="6" t="inlineStr">
        <is>
          <t>Wertsicherung (VPI/Staffelmiete etc.)</t>
        </is>
      </c>
      <c r="C40" s="25" t="inlineStr">
        <is>
          <t>VPI; 100% der Indexveränderung ab &gt;5%</t>
        </is>
      </c>
      <c r="D40" s="25" t="inlineStr">
        <is>
          <t>keine; Miete 10 Jahre fest</t>
        </is>
      </c>
      <c r="E40" s="26" t="n"/>
      <c r="F40" s="26" t="n"/>
    </row>
    <row r="41">
      <c r="B41" s="6" t="inlineStr">
        <is>
          <t>Mietsicherheit</t>
        </is>
      </c>
      <c r="C41" s="25" t="inlineStr">
        <is>
          <t>Bankbürgschaft, 3 Bruttomonatsmieten</t>
        </is>
      </c>
      <c r="D41" s="25" t="inlineStr">
        <is>
          <t>Patronatserklärung, 1 Jahreskaltmiete</t>
        </is>
      </c>
      <c r="E41" s="48" t="inlineStr">
        <is>
          <t>Würselen: der Betrag ist auf Basis der heutigen Gesamtmiete gerechnet. Gestellt wurde die Bürgschaft binnen 6 Monaten nach Vertragsschluss, also auf Basis von damals 12.428,50 € (= 37.285,50 €); eine Nachschusspflicht bei Flächenzuwachs enthalten die Verträge nicht. Tatsächliche Bürgschaftshöhe beim Target zu erfragen. Nach 5 Jahren störungsfreier Mietzeit Reduzierung um eine Gesamtzahlung möglich (1. Nachtrag).</t>
        </is>
      </c>
      <c r="F41" s="26" t="n"/>
    </row>
    <row r="42" ht="6.75" customHeight="1" thickBot="1">
      <c r="B42" s="7" t="n"/>
      <c r="C42" s="8" t="n"/>
      <c r="D42" s="7" t="n"/>
      <c r="E42" s="7" t="n"/>
      <c r="F42" s="7" t="n"/>
    </row>
  </sheetData>
  <pageMargins left="0.5118110236220472" right="0.5118110236220472" top="0.7874015748031497" bottom="0.7874015748031497" header="0.3149606299212598" footer="0.3149606299212598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88"/>
  <sheetViews>
    <sheetView showGridLines="0" workbookViewId="0">
      <selection activeCell="A1" sqref="A1"/>
    </sheetView>
  </sheetViews>
  <sheetFormatPr baseColWidth="8" defaultRowHeight="15"/>
  <cols>
    <col width="3.81640625" customWidth="1" min="1" max="1"/>
    <col width="44.26953125" customWidth="1" min="2" max="2"/>
    <col width="66.453125" customWidth="1" min="3" max="3"/>
    <col width="12.81640625" customWidth="1" min="4" max="4"/>
    <col width="11.453125" customWidth="1" min="7" max="7"/>
    <col width="11.453125" customWidth="1" min="8" max="8"/>
    <col width="11.453125" customWidth="1" min="9" max="9"/>
  </cols>
  <sheetData>
    <row r="1"/>
    <row r="2">
      <c r="B2" s="1" t="inlineStr">
        <is>
          <t>Übersicht Mietvertragskonditionen</t>
        </is>
      </c>
    </row>
    <row r="3"/>
    <row r="4">
      <c r="B4" s="3" t="inlineStr">
        <is>
          <t>Standort:</t>
        </is>
      </c>
      <c r="C4" s="59" t="inlineStr">
        <is>
          <t>Würselen (Target)</t>
        </is>
      </c>
      <c r="D4" s="60" t="n"/>
      <c r="E4" s="60" t="n"/>
      <c r="F4" s="61" t="n"/>
      <c r="G4" s="3" t="inlineStr">
        <is>
          <t>Baesweiler (Bestand)</t>
        </is>
      </c>
      <c r="H4" s="3" t="n"/>
    </row>
    <row r="5"/>
    <row r="6">
      <c r="B6" s="4" t="inlineStr">
        <is>
          <t>Eckdaten</t>
        </is>
      </c>
      <c r="C6" s="5" t="n"/>
      <c r="D6" s="5" t="n"/>
      <c r="E6" s="5" t="n"/>
      <c r="F6" s="5" t="n"/>
    </row>
    <row r="7">
      <c r="B7" s="6" t="inlineStr">
        <is>
          <t>Eigentümer</t>
        </is>
      </c>
      <c r="C7" s="25" t="inlineStr">
        <is>
          <t>Beginen Kempe GbR</t>
        </is>
      </c>
      <c r="D7" s="26" t="n"/>
      <c r="E7" s="26" t="n"/>
      <c r="F7" s="26" t="n"/>
      <c r="H7" s="47" t="n"/>
    </row>
    <row r="8">
      <c r="B8" s="6" t="inlineStr">
        <is>
          <t>Vermieter</t>
        </is>
      </c>
      <c r="C8" s="25" t="inlineStr">
        <is>
          <t>Beginen Kempe GbR</t>
        </is>
      </c>
      <c r="D8" s="26" t="n"/>
      <c r="E8" s="26" t="n"/>
      <c r="F8" s="26" t="n"/>
    </row>
    <row r="9">
      <c r="B9" s="6" t="inlineStr">
        <is>
          <t>Mieter</t>
        </is>
      </c>
      <c r="C9" s="25" t="inlineStr">
        <is>
          <t>AirHome Intensivpflege GmbH</t>
        </is>
      </c>
      <c r="D9" s="26" t="n"/>
      <c r="E9" s="26" t="n"/>
      <c r="F9" s="26" t="n"/>
    </row>
    <row r="10">
      <c r="B10" s="6" t="inlineStr">
        <is>
          <t>Adresse</t>
        </is>
      </c>
      <c r="C10" s="25" t="inlineStr">
        <is>
          <t>Mauerfeldchen 27, 52146 Würselen</t>
        </is>
      </c>
      <c r="D10" s="26" t="n"/>
      <c r="E10" s="26" t="n"/>
      <c r="F10" s="26" t="n"/>
    </row>
    <row r="11">
      <c r="B11" s="6" t="inlineStr">
        <is>
          <t>Baujahr der Immobilie</t>
        </is>
      </c>
      <c r="C11" s="25" t="inlineStr">
        <is>
          <t>XXX</t>
        </is>
      </c>
      <c r="D11" s="26" t="n"/>
      <c r="E11" s="26" t="n"/>
      <c r="F11" s="26" t="n"/>
      <c r="H11" s="47" t="n"/>
    </row>
    <row r="12">
      <c r="B12" s="6" t="inlineStr">
        <is>
          <t>Mietzweck</t>
        </is>
      </c>
      <c r="C12" s="25" t="inlineStr">
        <is>
          <t>Wohnheim für Intesnivpflege mit Untervermietung</t>
        </is>
      </c>
      <c r="D12" s="26" t="n"/>
      <c r="E12" s="26" t="n"/>
      <c r="F12" s="26" t="n"/>
    </row>
    <row r="13">
      <c r="B13" s="6" t="inlineStr">
        <is>
          <t>Festlaufzeit</t>
        </is>
      </c>
      <c r="C13" s="25" t="inlineStr">
        <is>
          <t>10 Jahre</t>
        </is>
      </c>
      <c r="D13" s="26" t="n"/>
      <c r="E13" s="26" t="n"/>
      <c r="F13" s="26" t="n"/>
      <c r="H13" s="47" t="n"/>
    </row>
    <row r="14" ht="29" customHeight="1">
      <c r="B14" s="6" t="inlineStr">
        <is>
          <t>Verlängerungsoptionen</t>
        </is>
      </c>
      <c r="C14" s="50" t="inlineStr">
        <is>
          <t>2x 5 Jahre; 
automatische Verlängerung falls keine Kündigung 12 Monate vor Vertragsende erfolgt</t>
        </is>
      </c>
      <c r="D14" s="26" t="n"/>
      <c r="E14" s="26" t="n"/>
      <c r="F14" s="26" t="n"/>
      <c r="H14" s="47" t="n"/>
    </row>
    <row r="15">
      <c r="B15" s="6" t="inlineStr">
        <is>
          <t>Mietbeginn</t>
        </is>
      </c>
      <c r="C15" s="25" t="inlineStr">
        <is>
          <t>bei Übergabe; ggf. am Monatsersten des Folgemonats</t>
        </is>
      </c>
      <c r="D15" s="26" t="n"/>
      <c r="E15" s="26" t="n"/>
      <c r="F15" s="26" t="n"/>
      <c r="H15" s="47" t="n"/>
    </row>
    <row r="16">
      <c r="B16" s="6" t="inlineStr">
        <is>
          <t>Übergabezeitpunkt</t>
        </is>
      </c>
      <c r="C16" s="29" t="inlineStr">
        <is>
          <t>Schadensersatz bei zu später Übergabe (200 €/Tag, max. 3 Nettomonatsmieten).</t>
        </is>
      </c>
      <c r="D16" s="26" t="n"/>
      <c r="E16" s="26" t="n"/>
      <c r="F16" s="26" t="n"/>
    </row>
    <row r="17" ht="29" customHeight="1">
      <c r="B17" s="6" t="inlineStr">
        <is>
          <t>Aufschiebende Bedingung / Rücktrittsrecht</t>
        </is>
      </c>
      <c r="C17" s="51" t="inlineStr">
        <is>
          <t>außerordentliche Kündigung bei &gt;3 Monate Verzug</t>
        </is>
      </c>
      <c r="D17" s="26" t="n"/>
      <c r="E17" s="26" t="n"/>
      <c r="F17" s="26" t="n"/>
      <c r="H17" s="47" t="n"/>
    </row>
    <row r="18">
      <c r="B18" s="6" t="inlineStr">
        <is>
          <t>Mietfreie Zeit</t>
        </is>
      </c>
      <c r="C18" s="25" t="inlineStr">
        <is>
          <t>keine</t>
        </is>
      </c>
      <c r="D18" s="26" t="n"/>
      <c r="E18" s="26" t="n"/>
      <c r="F18" s="26" t="n"/>
      <c r="H18" s="47" t="n"/>
    </row>
    <row r="19">
      <c r="B19" s="6" t="inlineStr">
        <is>
          <t>Wertsicherung (VPI)</t>
        </is>
      </c>
      <c r="C19" s="25" t="inlineStr">
        <is>
          <t xml:space="preserve">Anpassung um 100% der Indexveränderung, wenn Indexveränderung &gt;5% </t>
        </is>
      </c>
      <c r="D19" s="26" t="n"/>
      <c r="E19" s="26" t="n"/>
      <c r="F19" s="26" t="n"/>
      <c r="H19" s="47" t="n"/>
    </row>
    <row r="20">
      <c r="B20" s="6" t="inlineStr">
        <is>
          <t>Rückbauverpflichtung Mieter</t>
        </is>
      </c>
      <c r="C20" s="25" t="inlineStr">
        <is>
          <t>Ja</t>
        </is>
      </c>
      <c r="D20" s="26" t="n"/>
      <c r="E20" s="26" t="n"/>
      <c r="F20" s="26" t="n"/>
      <c r="H20" s="47" t="n"/>
    </row>
    <row r="21">
      <c r="B21" s="6" t="inlineStr">
        <is>
          <t>Untervermietung</t>
        </is>
      </c>
      <c r="C21" s="25" t="inlineStr">
        <is>
          <t>Ja, an Patienten</t>
        </is>
      </c>
      <c r="D21" s="26" t="n"/>
      <c r="E21" s="26" t="n"/>
      <c r="F21" s="26" t="n"/>
      <c r="H21" s="47" t="n"/>
    </row>
    <row r="22" ht="29.5" customHeight="1">
      <c r="B22" s="6" t="inlineStr">
        <is>
          <t>Mietsicherheit</t>
        </is>
      </c>
      <c r="C22" s="51" t="inlineStr">
        <is>
          <t>Bankbürgschaft: 3 Bruttomonatsmieten.</t>
        </is>
      </c>
      <c r="D22" s="52" t="n"/>
      <c r="E22" s="52" t="n"/>
      <c r="F22" s="52" t="n"/>
      <c r="H22" s="47" t="n"/>
    </row>
    <row r="23">
      <c r="B23" s="6" t="inlineStr">
        <is>
          <t>Konkurrenzschutz</t>
        </is>
      </c>
      <c r="C23" s="25" t="inlineStr">
        <is>
          <t>ja</t>
        </is>
      </c>
      <c r="D23" s="26" t="n"/>
      <c r="E23" s="26" t="n"/>
      <c r="F23" s="26" t="n"/>
      <c r="H23" s="47" t="n"/>
    </row>
    <row r="24">
      <c r="B24" s="6" t="inlineStr">
        <is>
          <t>Sonderkündigungsrecht</t>
        </is>
      </c>
      <c r="C24" s="25" t="inlineStr">
        <is>
          <t>keines</t>
        </is>
      </c>
      <c r="D24" s="26" t="n"/>
      <c r="E24" s="26" t="n"/>
      <c r="F24" s="26" t="n"/>
    </row>
    <row r="25">
      <c r="B25" s="6" t="inlineStr">
        <is>
          <t>Instandhaltung/Instandsetzung</t>
        </is>
      </c>
      <c r="C25" s="25" t="inlineStr">
        <is>
          <t>Dach und Fach beim Vermieter; Fläche beim Mieter</t>
        </is>
      </c>
      <c r="D25" s="26" t="n"/>
      <c r="E25" s="26" t="n"/>
      <c r="F25" s="26" t="n"/>
      <c r="H25" s="47" t="n"/>
    </row>
    <row r="26">
      <c r="B26" s="6" t="inlineStr">
        <is>
          <t>Besonderheiten / Sonstiges</t>
        </is>
      </c>
      <c r="C26" s="25" t="inlineStr">
        <is>
          <t>umsatzsteuerfrei; Nebenkosten zzgl. USt</t>
        </is>
      </c>
      <c r="D26" s="26" t="n"/>
      <c r="E26" s="26" t="n"/>
      <c r="F26" s="26" t="n"/>
      <c r="H26" s="47" t="n"/>
    </row>
    <row r="27" ht="6.75" customHeight="1">
      <c r="B27" s="7" t="n"/>
      <c r="C27" s="8" t="n"/>
      <c r="D27" s="7" t="n"/>
      <c r="E27" s="7" t="n"/>
      <c r="F27" s="7" t="n"/>
    </row>
    <row r="28"/>
    <row r="29">
      <c r="B29" s="9" t="inlineStr">
        <is>
          <t>Benchmarks (Neubau)</t>
        </is>
      </c>
      <c r="C29" s="9" t="n"/>
      <c r="D29" s="9" t="n"/>
      <c r="E29" s="9" t="n"/>
      <c r="F29" s="9" t="n"/>
    </row>
    <row r="30">
      <c r="B30" s="6" t="inlineStr">
        <is>
          <t>Miete/m² (Neubau) - kein BKZ</t>
        </is>
      </c>
      <c r="C30" s="62" t="n">
        <v>20</v>
      </c>
      <c r="D30" s="26" t="n"/>
      <c r="E30" s="26" t="n"/>
      <c r="F30" s="26" t="n"/>
    </row>
    <row r="31">
      <c r="B31" s="6" t="inlineStr">
        <is>
          <t>Miete/m² inkl. BKZ</t>
        </is>
      </c>
      <c r="C31" s="62" t="n">
        <v>20</v>
      </c>
      <c r="D31" s="26" t="n"/>
      <c r="E31" s="26" t="n"/>
      <c r="F31" s="26" t="n"/>
    </row>
    <row r="32">
      <c r="B32" s="6" t="inlineStr">
        <is>
          <t>Nebenkosten/m²</t>
        </is>
      </c>
      <c r="C32" s="62" t="n">
        <v>3</v>
      </c>
      <c r="D32" s="26" t="n"/>
      <c r="E32" s="26" t="n"/>
      <c r="F32" s="26" t="n"/>
    </row>
    <row r="33">
      <c r="B33" s="6" t="inlineStr">
        <is>
          <t>Fläche pro Bett</t>
        </is>
      </c>
      <c r="C33" s="63" t="inlineStr">
        <is>
          <t>50m²</t>
        </is>
      </c>
      <c r="D33" s="64" t="inlineStr">
        <is>
          <t xml:space="preserve"> (d.h. 6er WG: 300m²; 12er WG: 600m²)</t>
        </is>
      </c>
      <c r="E33" s="26" t="n"/>
      <c r="F33" s="26" t="n"/>
    </row>
    <row r="34">
      <c r="B34" s="6" t="inlineStr">
        <is>
          <t>Miete pro Bett pro Monat (exkl. Baukostenzuschuss)</t>
        </is>
      </c>
      <c r="C34" s="63" t="n">
        <v>1000</v>
      </c>
      <c r="D34" s="26" t="n"/>
      <c r="E34" s="26" t="n"/>
      <c r="F34" s="26" t="n"/>
    </row>
    <row r="35">
      <c r="B35" s="6" t="inlineStr">
        <is>
          <t>Miete pro Bett pro Monat (inkl. BKZ über 10 Jahre)</t>
        </is>
      </c>
      <c r="C35" s="63">
        <f>+C34</f>
        <v/>
      </c>
      <c r="D35" s="26" t="n"/>
      <c r="E35" s="26" t="n"/>
      <c r="F35" s="26" t="n"/>
    </row>
    <row r="36">
      <c r="B36" s="6" t="inlineStr">
        <is>
          <t>Baukostenzuschuss pro Bett</t>
        </is>
      </c>
      <c r="C36" s="63" t="n">
        <v>0</v>
      </c>
      <c r="D36" s="64" t="n"/>
      <c r="E36" s="26" t="n"/>
      <c r="F36" s="26" t="n"/>
    </row>
    <row r="37">
      <c r="B37" s="6" t="inlineStr">
        <is>
          <t>Capex pro Bett (Möbel, Ausstattung, etc.)</t>
        </is>
      </c>
      <c r="C37" s="63" t="n">
        <v>30000</v>
      </c>
      <c r="D37" s="26" t="n"/>
      <c r="E37" s="26" t="n"/>
      <c r="F37" s="26" t="n"/>
    </row>
    <row r="38">
      <c r="B38" s="6" t="inlineStr">
        <is>
          <t>Baukosten pro qm (Neubau)</t>
        </is>
      </c>
      <c r="C38" s="25" t="inlineStr">
        <is>
          <t>TBD</t>
        </is>
      </c>
      <c r="D38" s="26" t="n"/>
      <c r="E38" s="26" t="n"/>
      <c r="F38" s="26" t="n"/>
    </row>
    <row r="39"/>
    <row r="40">
      <c r="B40" s="9" t="inlineStr">
        <is>
          <t>Benchmarks (Bestand)</t>
        </is>
      </c>
      <c r="C40" s="9" t="n"/>
      <c r="D40" s="9" t="n"/>
      <c r="E40" s="9" t="n"/>
      <c r="F40" s="9" t="n"/>
    </row>
    <row r="41">
      <c r="B41" s="6" t="inlineStr">
        <is>
          <t>Miete/m² (Bestand) - kein BKZ</t>
        </is>
      </c>
      <c r="C41" s="62" t="n">
        <v>20</v>
      </c>
      <c r="D41" s="26" t="n"/>
      <c r="E41" s="26" t="n"/>
      <c r="F41" s="26" t="n"/>
    </row>
    <row r="42">
      <c r="B42" s="6" t="inlineStr">
        <is>
          <t>Miete/m² (Bestand) inkl. BKZ</t>
        </is>
      </c>
      <c r="C42" s="62" t="n">
        <v>25</v>
      </c>
      <c r="D42" s="26" t="n"/>
      <c r="E42" s="26" t="n"/>
      <c r="F42" s="26" t="n"/>
    </row>
    <row r="43">
      <c r="B43" s="6" t="inlineStr">
        <is>
          <t>Nebenkosten/m²</t>
        </is>
      </c>
      <c r="C43" s="62" t="n">
        <v>3</v>
      </c>
      <c r="D43" s="26" t="n"/>
      <c r="E43" s="26" t="n"/>
      <c r="F43" s="26" t="n"/>
    </row>
    <row r="44">
      <c r="B44" s="6" t="inlineStr">
        <is>
          <t>Fläche pro Bett</t>
        </is>
      </c>
      <c r="C44" s="63" t="inlineStr">
        <is>
          <t>50m²</t>
        </is>
      </c>
      <c r="D44" s="64" t="inlineStr">
        <is>
          <t xml:space="preserve"> (d.h. 6er WG: 300m²; 12er WG: 600m²)</t>
        </is>
      </c>
      <c r="E44" s="26" t="n"/>
      <c r="F44" s="26" t="n"/>
    </row>
    <row r="45">
      <c r="B45" s="6" t="inlineStr">
        <is>
          <t>Miete pro Bett pro Monat (exkl. Baukostenzuschuss)</t>
        </is>
      </c>
      <c r="C45" s="63" t="n">
        <v>1000</v>
      </c>
      <c r="D45" s="26" t="n"/>
      <c r="E45" s="26" t="n"/>
      <c r="F45" s="26" t="n"/>
    </row>
    <row r="46">
      <c r="B46" s="6" t="inlineStr">
        <is>
          <t>Miete pro Bett pro Monat (inkl. BKZ über 10 Jahre)</t>
        </is>
      </c>
      <c r="C46" s="63" t="n">
        <v>1250</v>
      </c>
      <c r="D46" s="26" t="n"/>
      <c r="E46" s="26" t="n"/>
      <c r="F46" s="26" t="n"/>
    </row>
    <row r="47">
      <c r="B47" s="6" t="inlineStr">
        <is>
          <t>Baukostenzuschuss pro Bett</t>
        </is>
      </c>
      <c r="C47" s="63" t="n">
        <v>40000</v>
      </c>
      <c r="D47" s="64" t="inlineStr">
        <is>
          <t>(d.h. 6er WG: 180.000 €, 12er WG: 360.000 €)</t>
        </is>
      </c>
      <c r="E47" s="26" t="n"/>
      <c r="F47" s="26" t="n"/>
    </row>
    <row r="48">
      <c r="B48" s="6" t="inlineStr">
        <is>
          <t>Capex pro Bett (Möbel, Ausstattung, etc.)</t>
        </is>
      </c>
      <c r="C48" s="63" t="n">
        <v>30000</v>
      </c>
      <c r="D48" s="26" t="n"/>
      <c r="E48" s="26" t="n"/>
      <c r="F48" s="26" t="n"/>
    </row>
    <row r="49">
      <c r="B49" s="6" t="inlineStr">
        <is>
          <t>Baukosten pro qm (Neubau)</t>
        </is>
      </c>
      <c r="C49" s="27" t="n">
        <v>0</v>
      </c>
      <c r="D49" s="26" t="n"/>
      <c r="E49" s="26" t="n"/>
      <c r="F49" s="26" t="n"/>
    </row>
    <row r="50"/>
    <row r="51">
      <c r="B51" s="9" t="inlineStr">
        <is>
          <t>Mietkosten</t>
        </is>
      </c>
      <c r="C51" s="9" t="n"/>
      <c r="D51" s="9" t="n"/>
      <c r="E51" s="9" t="n"/>
      <c r="F51" s="9" t="n"/>
    </row>
    <row r="52">
      <c r="B52" s="10" t="inlineStr">
        <is>
          <t>Einheit 1</t>
        </is>
      </c>
      <c r="C52" s="10" t="n"/>
      <c r="D52" s="10" t="n"/>
      <c r="E52" s="10" t="n"/>
      <c r="F52" s="10" t="n"/>
    </row>
    <row r="53">
      <c r="B53" s="6" t="inlineStr">
        <is>
          <t>Art (z.B. WG, Büro, etc.)</t>
        </is>
      </c>
      <c r="C53" s="27" t="inlineStr">
        <is>
          <t>WG</t>
        </is>
      </c>
      <c r="D53" s="26" t="n"/>
      <c r="E53" s="26" t="n"/>
      <c r="F53" s="26" t="n"/>
    </row>
    <row r="54">
      <c r="B54" s="6" t="inlineStr">
        <is>
          <t>Lage der Mietfläche (z.B. EG, 1. OG)</t>
        </is>
      </c>
      <c r="C54" s="27" t="inlineStr">
        <is>
          <t>2. und 3. OG</t>
        </is>
      </c>
      <c r="D54" s="26" t="n"/>
      <c r="E54" s="26" t="n"/>
      <c r="F54" s="26" t="n"/>
    </row>
    <row r="55">
      <c r="B55" s="6" t="inlineStr">
        <is>
          <t>Kapazität (Anzahl Betten)</t>
        </is>
      </c>
      <c r="C55" s="27" t="inlineStr">
        <is>
          <t>XXX</t>
        </is>
      </c>
      <c r="D55" s="26" t="n"/>
      <c r="E55" s="26" t="n"/>
      <c r="F55" s="26" t="n"/>
      <c r="H55" s="47" t="inlineStr">
        <is>
          <t>Bettenzahl in keinem der vier Dokumente genannt – vom Target anzufordern.</t>
        </is>
      </c>
    </row>
    <row r="56">
      <c r="B56" s="6" t="inlineStr">
        <is>
          <t>Größe der Fläche (in qm)</t>
        </is>
      </c>
      <c r="C56" s="28" t="n">
        <v>695.28</v>
      </c>
      <c r="D56" s="26" t="n"/>
      <c r="E56" s="26" t="n"/>
      <c r="F56" s="26" t="n"/>
    </row>
    <row r="57">
      <c r="B57" s="6" t="inlineStr">
        <is>
          <t>Mietbeginn (falls abweichned)</t>
        </is>
      </c>
      <c r="C57" s="29" t="n">
        <v>44301</v>
      </c>
      <c r="D57" s="26" t="n"/>
      <c r="E57" s="26" t="n"/>
      <c r="F57" s="26" t="n"/>
    </row>
    <row r="58"/>
    <row r="59">
      <c r="B59" s="11" t="inlineStr">
        <is>
          <t>Kosten Einheit 1</t>
        </is>
      </c>
      <c r="C59" s="12" t="inlineStr">
        <is>
          <t>Anzahl</t>
        </is>
      </c>
      <c r="D59" s="12" t="inlineStr">
        <is>
          <t>€ pro Einheit</t>
        </is>
      </c>
      <c r="E59" s="12" t="inlineStr">
        <is>
          <t>€ pro Monat</t>
        </is>
      </c>
      <c r="F59" s="12" t="inlineStr">
        <is>
          <t>€ pro Jahr</t>
        </is>
      </c>
    </row>
    <row r="60">
      <c r="B60" s="2" t="inlineStr">
        <is>
          <t>Nettokaltmiete</t>
        </is>
      </c>
      <c r="C60" s="30" t="n">
        <v>695.28</v>
      </c>
      <c r="D60" s="31" t="n">
        <v>12.5</v>
      </c>
      <c r="E60" s="13">
        <f>+C60*D60</f>
        <v/>
      </c>
      <c r="F60" s="13">
        <f>+E60*12</f>
        <v/>
      </c>
    </row>
    <row r="61">
      <c r="B61" s="6" t="inlineStr">
        <is>
          <t>Nebenkostenpauschale</t>
        </is>
      </c>
      <c r="C61" s="32">
        <f>+C60</f>
        <v/>
      </c>
      <c r="D61" s="33" t="n">
        <v>3.5</v>
      </c>
      <c r="E61" s="13">
        <f>+C61*D61</f>
        <v/>
      </c>
      <c r="F61" s="13">
        <f>+E61*12</f>
        <v/>
      </c>
    </row>
    <row r="62">
      <c r="B62" s="6" t="inlineStr">
        <is>
          <t>Stellplätze</t>
        </is>
      </c>
      <c r="C62" s="34" t="n">
        <v>11</v>
      </c>
      <c r="D62" s="33" t="n">
        <v>43.63636363636363</v>
      </c>
      <c r="E62" s="13">
        <f>+C62*D62</f>
        <v/>
      </c>
      <c r="F62" s="13">
        <f>+E62*12</f>
        <v/>
      </c>
    </row>
    <row r="63">
      <c r="B63" s="6" t="inlineStr">
        <is>
          <t>Terasse</t>
        </is>
      </c>
      <c r="C63" s="32" t="n">
        <v>0</v>
      </c>
      <c r="D63" s="33" t="n">
        <v>0</v>
      </c>
      <c r="E63" s="13">
        <f>+C63*D63</f>
        <v/>
      </c>
      <c r="F63" s="13">
        <f>+E63*12</f>
        <v/>
      </c>
    </row>
    <row r="64">
      <c r="B64" s="6" t="inlineStr">
        <is>
          <t>Keller</t>
        </is>
      </c>
      <c r="C64" s="32" t="n">
        <v>18.65</v>
      </c>
      <c r="D64" s="33" t="n">
        <v>5</v>
      </c>
      <c r="E64" s="13">
        <f>+C64*D64</f>
        <v/>
      </c>
      <c r="F64" s="13">
        <f>+E64*12</f>
        <v/>
      </c>
    </row>
    <row r="65">
      <c r="B65" s="6" t="inlineStr">
        <is>
          <t>Sonstiges</t>
        </is>
      </c>
      <c r="C65" s="34" t="n">
        <v>0</v>
      </c>
      <c r="D65" s="33" t="n">
        <v>0</v>
      </c>
      <c r="E65" s="13">
        <f>+C65*D65</f>
        <v/>
      </c>
      <c r="F65" s="13">
        <f>+E65*12</f>
        <v/>
      </c>
    </row>
    <row r="66" ht="8.25" customHeight="1">
      <c r="B66" s="14" t="n"/>
      <c r="C66" s="15" t="n"/>
      <c r="D66" s="16" t="n"/>
      <c r="E66" s="17" t="n"/>
      <c r="F66" s="17" t="n"/>
    </row>
    <row r="67">
      <c r="B67" s="1" t="inlineStr">
        <is>
          <t>Summe</t>
        </is>
      </c>
      <c r="C67" s="18" t="n"/>
      <c r="D67" s="19" t="n"/>
      <c r="E67" s="20">
        <f>+SUM(E60:E66)</f>
        <v/>
      </c>
      <c r="F67" s="20">
        <f>+SUM(F60:F66)</f>
        <v/>
      </c>
      <c r="G67" s="58" t="n"/>
    </row>
    <row r="68" ht="6.75" customHeight="1">
      <c r="B68" s="7" t="n"/>
      <c r="C68" s="8" t="n"/>
      <c r="D68" s="7" t="n"/>
      <c r="E68" s="7" t="n"/>
      <c r="F68" s="7" t="n"/>
    </row>
    <row r="69"/>
    <row r="70">
      <c r="B70" s="10" t="inlineStr">
        <is>
          <t>Einheit 2</t>
        </is>
      </c>
      <c r="C70" s="10" t="n"/>
      <c r="D70" s="10" t="n"/>
      <c r="E70" s="10" t="n"/>
      <c r="F70" s="10" t="n"/>
    </row>
    <row r="71">
      <c r="B71" s="6" t="inlineStr">
        <is>
          <t>Art (z.B. WG, Büro, etc.)</t>
        </is>
      </c>
      <c r="C71" s="27" t="inlineStr">
        <is>
          <t>WG</t>
        </is>
      </c>
      <c r="D71" s="26" t="n"/>
      <c r="E71" s="26" t="n"/>
      <c r="F71" s="26" t="n"/>
    </row>
    <row r="72">
      <c r="B72" s="6" t="inlineStr">
        <is>
          <t>Lage der Mietfläche (z.B. EG, 1. OG)</t>
        </is>
      </c>
      <c r="C72" s="27" t="inlineStr">
        <is>
          <t>1. OG (komplett)</t>
        </is>
      </c>
      <c r="D72" s="26" t="n"/>
      <c r="E72" s="26" t="n"/>
      <c r="F72" s="26" t="n"/>
    </row>
    <row r="73">
      <c r="B73" s="6" t="inlineStr">
        <is>
          <t>Kapazität (Anzahl Betten)</t>
        </is>
      </c>
      <c r="C73" s="27" t="inlineStr">
        <is>
          <t>XXX</t>
        </is>
      </c>
      <c r="D73" s="26" t="n"/>
      <c r="E73" s="26" t="n"/>
      <c r="F73" s="26" t="n"/>
      <c r="H73" s="47" t="inlineStr">
        <is>
          <t>Skizze Anlage N 3-1 sieht 5 Bewohner-Apartments vor.</t>
        </is>
      </c>
    </row>
    <row r="74">
      <c r="B74" s="6" t="inlineStr">
        <is>
          <t>Größe der Fläche (in qm)</t>
        </is>
      </c>
      <c r="C74" s="28" t="n">
        <v>350.32</v>
      </c>
      <c r="D74" s="26" t="n"/>
      <c r="E74" s="26" t="n"/>
      <c r="F74" s="26" t="n"/>
    </row>
    <row r="75">
      <c r="B75" s="6" t="inlineStr">
        <is>
          <t>Mietbeginn (falls abweichned)</t>
        </is>
      </c>
      <c r="C75" s="29" t="inlineStr">
        <is>
          <t>15.10.2023 (1. OG); Keller 70 qm ab 15.04.2023</t>
        </is>
      </c>
      <c r="D75" s="26" t="n"/>
      <c r="E75" s="26" t="n"/>
      <c r="F75" s="26" t="n"/>
    </row>
    <row r="76"/>
    <row r="77">
      <c r="B77" s="11" t="inlineStr">
        <is>
          <t>Kosten Einheit 2</t>
        </is>
      </c>
      <c r="C77" s="12" t="inlineStr">
        <is>
          <t>Anzahl</t>
        </is>
      </c>
      <c r="D77" s="12" t="inlineStr">
        <is>
          <t>€ pro Einheit</t>
        </is>
      </c>
      <c r="E77" s="12" t="inlineStr">
        <is>
          <t>€ pro Monat</t>
        </is>
      </c>
      <c r="F77" s="12" t="inlineStr">
        <is>
          <t>€ pro Jahr</t>
        </is>
      </c>
    </row>
    <row r="78">
      <c r="B78" s="2" t="inlineStr">
        <is>
          <t>Nettokaltmiete</t>
        </is>
      </c>
      <c r="C78" s="30" t="n">
        <v>350.32</v>
      </c>
      <c r="D78" s="31" t="n">
        <v>12.5</v>
      </c>
      <c r="E78" s="13">
        <f>+C78*D78</f>
        <v/>
      </c>
      <c r="F78" s="13">
        <f>+E78*12</f>
        <v/>
      </c>
    </row>
    <row r="79">
      <c r="B79" s="6" t="inlineStr">
        <is>
          <t>Nebenkostenpauschale</t>
        </is>
      </c>
      <c r="C79" s="32">
        <f>+C78</f>
        <v/>
      </c>
      <c r="D79" s="33" t="n">
        <v>3.5</v>
      </c>
      <c r="E79" s="13">
        <f>+C79*D79</f>
        <v/>
      </c>
      <c r="F79" s="13">
        <f>+E79*12</f>
        <v/>
      </c>
    </row>
    <row r="80">
      <c r="B80" s="6" t="inlineStr">
        <is>
          <t>Stellplätze</t>
        </is>
      </c>
      <c r="C80" s="34" t="n">
        <v>3</v>
      </c>
      <c r="D80" s="33" t="n">
        <v>60</v>
      </c>
      <c r="E80" s="13">
        <f>+C80*D80</f>
        <v/>
      </c>
      <c r="F80" s="13">
        <f>+E80*12</f>
        <v/>
      </c>
    </row>
    <row r="81">
      <c r="B81" s="6" t="inlineStr">
        <is>
          <t>Terasse</t>
        </is>
      </c>
      <c r="C81" s="32" t="n">
        <v>0</v>
      </c>
      <c r="D81" s="33" t="n">
        <v>0</v>
      </c>
      <c r="E81" s="13">
        <f>+C81*D81</f>
        <v/>
      </c>
      <c r="F81" s="13">
        <f>+E81*12</f>
        <v/>
      </c>
    </row>
    <row r="82">
      <c r="B82" s="6" t="inlineStr">
        <is>
          <t>Keller</t>
        </is>
      </c>
      <c r="C82" s="32" t="n">
        <v>70</v>
      </c>
      <c r="D82" s="33" t="n">
        <v>5</v>
      </c>
      <c r="E82" s="13">
        <f>+C82*D82</f>
        <v/>
      </c>
      <c r="F82" s="13">
        <f>+E82*12</f>
        <v/>
      </c>
    </row>
    <row r="83">
      <c r="B83" s="6" t="inlineStr">
        <is>
          <t>Sonstiges</t>
        </is>
      </c>
      <c r="C83" s="34" t="n">
        <v>1</v>
      </c>
      <c r="D83" s="33" t="n">
        <v>600</v>
      </c>
      <c r="E83" s="13">
        <f>+C83*D83</f>
        <v/>
      </c>
      <c r="F83" s="13">
        <f>+E83*12</f>
        <v/>
      </c>
    </row>
    <row r="84" ht="8.25" customHeight="1">
      <c r="B84" s="14" t="n"/>
      <c r="C84" s="15" t="n"/>
      <c r="D84" s="16" t="n"/>
      <c r="E84" s="17" t="n"/>
      <c r="F84" s="17" t="n"/>
    </row>
    <row r="85">
      <c r="B85" s="1" t="inlineStr">
        <is>
          <t>Summe</t>
        </is>
      </c>
      <c r="C85" s="18" t="n"/>
      <c r="D85" s="19" t="n"/>
      <c r="E85" s="20">
        <f>+SUM(E78:E84)</f>
        <v/>
      </c>
      <c r="F85" s="20">
        <f>+SUM(F78:F84)</f>
        <v/>
      </c>
      <c r="G85" s="58" t="n"/>
    </row>
    <row r="86" ht="6.75" customHeight="1">
      <c r="B86" s="7" t="n"/>
      <c r="C86" s="8" t="n"/>
      <c r="D86" s="7" t="n"/>
      <c r="E86" s="7" t="n"/>
      <c r="F86" s="7" t="n"/>
    </row>
    <row r="87"/>
    <row r="88">
      <c r="B88" s="10" t="inlineStr">
        <is>
          <t>Einheit 3</t>
        </is>
      </c>
      <c r="C88" s="10" t="n"/>
      <c r="D88" s="10" t="n"/>
      <c r="E88" s="10" t="n"/>
      <c r="F88" s="10" t="n"/>
    </row>
    <row r="89">
      <c r="B89" s="6" t="inlineStr">
        <is>
          <t>Art (z.B. WG, Büro, etc.)</t>
        </is>
      </c>
      <c r="C89" s="27" t="inlineStr">
        <is>
          <t>Nebenfläche</t>
        </is>
      </c>
      <c r="D89" s="26" t="n"/>
      <c r="E89" s="26" t="n"/>
      <c r="F89" s="26" t="n"/>
    </row>
    <row r="90">
      <c r="B90" s="6" t="inlineStr">
        <is>
          <t>Lage der Mietfläche (z.B. EG, 1. OG)</t>
        </is>
      </c>
      <c r="C90" s="27" t="inlineStr">
        <is>
          <t>4. OG</t>
        </is>
      </c>
      <c r="D90" s="26" t="n"/>
      <c r="E90" s="26" t="n"/>
      <c r="F90" s="26" t="n"/>
      <c r="H90" s="47" t="inlineStr">
        <is>
          <t>Laut 1. Nachtrag im 4. OG, alternativ im 1. OG. Läge sie im 1. OG, wäre sie im "kompletten 1. OG" des 3. Nachtrags enthalten und doppelt erfasst; die strikt additive Mietsumme spricht für das 4. OG.</t>
        </is>
      </c>
    </row>
    <row r="91">
      <c r="B91" s="6" t="inlineStr">
        <is>
          <t>Kapazität (Anzahl Betten)</t>
        </is>
      </c>
      <c r="C91" s="27" t="n">
        <v>0</v>
      </c>
      <c r="D91" s="26" t="n"/>
      <c r="E91" s="26" t="n"/>
      <c r="F91" s="26" t="n"/>
    </row>
    <row r="92">
      <c r="B92" s="6" t="inlineStr">
        <is>
          <t>Größe der Fläche (in qm)</t>
        </is>
      </c>
      <c r="C92" s="28" t="n">
        <v>59</v>
      </c>
      <c r="D92" s="26" t="n"/>
      <c r="E92" s="26" t="n"/>
      <c r="F92" s="26" t="n"/>
    </row>
    <row r="93">
      <c r="B93" s="6" t="inlineStr">
        <is>
          <t>Mietbeginn (falls abweichned)</t>
        </is>
      </c>
      <c r="C93" s="29" t="n">
        <v>44301</v>
      </c>
      <c r="D93" s="26" t="n"/>
      <c r="E93" s="26" t="n"/>
      <c r="F93" s="26" t="n"/>
    </row>
    <row r="94"/>
    <row r="95">
      <c r="B95" s="11" t="inlineStr">
        <is>
          <t>Kosten Einheit 3</t>
        </is>
      </c>
      <c r="C95" s="12" t="inlineStr">
        <is>
          <t>Anzahl</t>
        </is>
      </c>
      <c r="D95" s="12" t="inlineStr">
        <is>
          <t>€ pro Einheit</t>
        </is>
      </c>
      <c r="E95" s="12" t="inlineStr">
        <is>
          <t>€ pro Monat</t>
        </is>
      </c>
      <c r="F95" s="12" t="inlineStr">
        <is>
          <t>€ pro Jahr</t>
        </is>
      </c>
    </row>
    <row r="96">
      <c r="B96" s="2" t="inlineStr">
        <is>
          <t>Nettokaltmiete</t>
        </is>
      </c>
      <c r="C96" s="30" t="n">
        <v>59</v>
      </c>
      <c r="D96" s="31" t="n">
        <v>12.5</v>
      </c>
      <c r="E96" s="13">
        <f>+C96*D96</f>
        <v/>
      </c>
      <c r="F96" s="13">
        <f>+E96*12</f>
        <v/>
      </c>
    </row>
    <row r="97">
      <c r="B97" s="6" t="inlineStr">
        <is>
          <t>Nebenkostenpauschale</t>
        </is>
      </c>
      <c r="C97" s="32">
        <f>+C96</f>
        <v/>
      </c>
      <c r="D97" s="33" t="n">
        <v>3.5</v>
      </c>
      <c r="E97" s="13">
        <f>+C97*D97</f>
        <v/>
      </c>
      <c r="F97" s="13">
        <f>+E97*12</f>
        <v/>
      </c>
    </row>
    <row r="98">
      <c r="B98" s="6" t="inlineStr">
        <is>
          <t>Stellplätze</t>
        </is>
      </c>
      <c r="C98" s="34" t="n">
        <v>0</v>
      </c>
      <c r="D98" s="33" t="n">
        <v>0</v>
      </c>
      <c r="E98" s="13">
        <f>+C98*D98</f>
        <v/>
      </c>
      <c r="F98" s="13">
        <f>+E98*12</f>
        <v/>
      </c>
    </row>
    <row r="99">
      <c r="B99" s="6" t="inlineStr">
        <is>
          <t>Terasse</t>
        </is>
      </c>
      <c r="C99" s="32" t="n">
        <v>0</v>
      </c>
      <c r="D99" s="33" t="n">
        <v>0</v>
      </c>
      <c r="E99" s="13">
        <f>+C99*D99</f>
        <v/>
      </c>
      <c r="F99" s="13">
        <f>+E99*12</f>
        <v/>
      </c>
    </row>
    <row r="100">
      <c r="B100" s="6" t="inlineStr">
        <is>
          <t>Keller</t>
        </is>
      </c>
      <c r="C100" s="32" t="n">
        <v>0</v>
      </c>
      <c r="D100" s="33" t="n">
        <v>0</v>
      </c>
      <c r="E100" s="13">
        <f>+C100*D100</f>
        <v/>
      </c>
      <c r="F100" s="13">
        <f>+E100*12</f>
        <v/>
      </c>
    </row>
    <row r="101">
      <c r="B101" s="6" t="inlineStr">
        <is>
          <t>Sonstiges</t>
        </is>
      </c>
      <c r="C101" s="34" t="n">
        <v>0</v>
      </c>
      <c r="D101" s="33" t="n">
        <v>0</v>
      </c>
      <c r="E101" s="13">
        <f>+C101*D101</f>
        <v/>
      </c>
      <c r="F101" s="13">
        <f>+E101*12</f>
        <v/>
      </c>
    </row>
    <row r="102" ht="8.25" customHeight="1">
      <c r="B102" s="14" t="n"/>
      <c r="C102" s="15" t="n"/>
      <c r="D102" s="16" t="n"/>
      <c r="E102" s="17" t="n"/>
      <c r="F102" s="17" t="n"/>
    </row>
    <row r="103">
      <c r="B103" s="1" t="inlineStr">
        <is>
          <t>Summe</t>
        </is>
      </c>
      <c r="C103" s="18" t="n"/>
      <c r="D103" s="19" t="n"/>
      <c r="E103" s="20">
        <f>+SUM(E96:E102)</f>
        <v/>
      </c>
      <c r="F103" s="20">
        <f>+SUM(F96:F102)</f>
        <v/>
      </c>
      <c r="G103" s="58" t="n"/>
    </row>
    <row r="104" ht="6.75" customHeight="1">
      <c r="B104" s="7" t="n"/>
      <c r="C104" s="8" t="n"/>
      <c r="D104" s="7" t="n"/>
      <c r="E104" s="7" t="n"/>
      <c r="F104" s="7" t="n"/>
    </row>
    <row r="105"/>
    <row r="106"/>
    <row r="107">
      <c r="B107" s="23" t="inlineStr">
        <is>
          <t>Capex</t>
        </is>
      </c>
      <c r="C107" s="23" t="inlineStr">
        <is>
          <t>Anmerkungen</t>
        </is>
      </c>
      <c r="D107" s="24" t="n"/>
      <c r="E107" s="24" t="n"/>
      <c r="F107" s="24" t="n"/>
    </row>
    <row r="108">
      <c r="B108" s="35" t="inlineStr">
        <is>
          <t>Möbel Patientenzimmer</t>
        </is>
      </c>
      <c r="C108" s="36" t="inlineStr">
        <is>
          <t>XXX</t>
        </is>
      </c>
      <c r="D108" s="37" t="n"/>
      <c r="E108" s="38" t="n"/>
      <c r="F108" s="56" t="n">
        <v>0</v>
      </c>
    </row>
    <row r="109">
      <c r="B109" s="35" t="inlineStr">
        <is>
          <t>Gemeinschaftsbereich</t>
        </is>
      </c>
      <c r="C109" s="25" t="inlineStr">
        <is>
          <t>XXX</t>
        </is>
      </c>
      <c r="D109" s="39" t="n"/>
      <c r="E109" s="40" t="n"/>
      <c r="F109" s="56" t="n">
        <v>0</v>
      </c>
    </row>
    <row r="110">
      <c r="B110" s="35" t="inlineStr">
        <is>
          <t>Schwesternrufanlage</t>
        </is>
      </c>
      <c r="C110" s="25" t="inlineStr">
        <is>
          <t>XXX</t>
        </is>
      </c>
      <c r="D110" s="39" t="n"/>
      <c r="E110" s="40" t="n"/>
      <c r="F110" s="56" t="n">
        <v>0</v>
      </c>
    </row>
    <row r="111">
      <c r="B111" s="35" t="inlineStr">
        <is>
          <t>Pflegebad</t>
        </is>
      </c>
      <c r="C111" s="25" t="inlineStr">
        <is>
          <t>XXX</t>
        </is>
      </c>
      <c r="D111" s="39" t="n"/>
      <c r="E111" s="40" t="n"/>
      <c r="F111" s="56" t="n">
        <v>0</v>
      </c>
    </row>
    <row r="112">
      <c r="B112" s="35" t="inlineStr">
        <is>
          <t>Fäkalienspüle</t>
        </is>
      </c>
      <c r="C112" s="25" t="inlineStr">
        <is>
          <t>XXX</t>
        </is>
      </c>
      <c r="D112" s="39" t="n"/>
      <c r="E112" s="40" t="n"/>
      <c r="F112" s="56" t="n">
        <v>0</v>
      </c>
    </row>
    <row r="113">
      <c r="B113" s="35" t="inlineStr">
        <is>
          <t>Umbaukosten</t>
        </is>
      </c>
      <c r="C113" s="25" t="inlineStr">
        <is>
          <t>XXX</t>
        </is>
      </c>
      <c r="D113" s="39" t="n"/>
      <c r="E113" s="40" t="n"/>
      <c r="F113" s="56" t="n">
        <v>0</v>
      </c>
    </row>
    <row r="114">
      <c r="B114" s="35" t="inlineStr">
        <is>
          <t>IT</t>
        </is>
      </c>
      <c r="C114" s="25" t="inlineStr">
        <is>
          <t>XXX</t>
        </is>
      </c>
      <c r="D114" s="39" t="n"/>
      <c r="E114" s="40" t="n"/>
      <c r="F114" s="56" t="n">
        <v>0</v>
      </c>
    </row>
    <row r="115">
      <c r="B115" s="35" t="inlineStr">
        <is>
          <t>Waschmaschinen</t>
        </is>
      </c>
      <c r="C115" s="25" t="inlineStr">
        <is>
          <t>XXX</t>
        </is>
      </c>
      <c r="D115" s="39" t="n"/>
      <c r="E115" s="40" t="n"/>
      <c r="F115" s="56" t="n">
        <v>0</v>
      </c>
    </row>
    <row r="116">
      <c r="B116" s="35" t="inlineStr">
        <is>
          <t>[Platzhalter]</t>
        </is>
      </c>
      <c r="C116" s="25" t="inlineStr">
        <is>
          <t>XXX</t>
        </is>
      </c>
      <c r="D116" s="39" t="n"/>
      <c r="E116" s="40" t="n"/>
      <c r="F116" s="56" t="n">
        <v>0</v>
      </c>
    </row>
    <row r="117">
      <c r="B117" s="35" t="inlineStr">
        <is>
          <t>[Platzhalter]</t>
        </is>
      </c>
      <c r="C117" s="25" t="inlineStr">
        <is>
          <t>XXX</t>
        </is>
      </c>
      <c r="D117" s="39" t="n"/>
      <c r="E117" s="40" t="n"/>
      <c r="F117" s="56" t="n">
        <v>0</v>
      </c>
    </row>
    <row r="118">
      <c r="B118" s="35" t="inlineStr">
        <is>
          <t>[Platzhalter]</t>
        </is>
      </c>
      <c r="C118" s="25" t="inlineStr">
        <is>
          <t>XXX</t>
        </is>
      </c>
      <c r="D118" s="39" t="n"/>
      <c r="E118" s="40" t="n"/>
      <c r="F118" s="56" t="n">
        <v>0</v>
      </c>
    </row>
    <row r="119" ht="8.25" customHeight="1">
      <c r="B119" s="14" t="n"/>
      <c r="C119" s="15" t="n"/>
      <c r="D119" s="16" t="n"/>
      <c r="E119" s="17" t="n"/>
      <c r="F119" s="17" t="n"/>
    </row>
    <row r="120">
      <c r="B120" s="1" t="inlineStr">
        <is>
          <t>Summe</t>
        </is>
      </c>
      <c r="C120" s="18" t="n"/>
      <c r="D120" s="19" t="n"/>
      <c r="E120" s="20" t="n"/>
      <c r="F120" s="20">
        <f>+SUM(F108:F119)</f>
        <v/>
      </c>
      <c r="G120" s="58" t="n"/>
    </row>
    <row r="121" ht="6.75" customHeight="1">
      <c r="B121" s="7" t="n"/>
      <c r="C121" s="8" t="n"/>
      <c r="D121" s="7" t="n"/>
      <c r="E121" s="7" t="n"/>
      <c r="F121" s="7" t="n"/>
    </row>
    <row r="122" ht="6.75" customHeight="1"/>
    <row r="123">
      <c r="B123" s="21" t="inlineStr">
        <is>
          <t>davon:</t>
        </is>
      </c>
    </row>
    <row r="124">
      <c r="B124" s="22" t="inlineStr">
        <is>
          <t>Übernahme Vermieter</t>
        </is>
      </c>
      <c r="C124" s="25" t="inlineStr">
        <is>
          <t>XXX</t>
        </is>
      </c>
      <c r="D124" s="39" t="n"/>
      <c r="E124" s="40" t="n"/>
      <c r="F124" s="56" t="n">
        <v>0</v>
      </c>
    </row>
    <row r="125">
      <c r="B125" s="22" t="inlineStr">
        <is>
          <t>Baukostenzuschuss Mieter</t>
        </is>
      </c>
      <c r="C125" s="25" t="inlineStr">
        <is>
          <t>XXX</t>
        </is>
      </c>
      <c r="D125" s="39" t="n"/>
      <c r="E125" s="40" t="n"/>
      <c r="F125" s="56" t="n">
        <v>0</v>
      </c>
    </row>
    <row r="126" ht="6.75" customHeight="1">
      <c r="B126" s="7" t="n"/>
      <c r="C126" s="8" t="n"/>
      <c r="D126" s="7" t="n"/>
      <c r="E126" s="7" t="n"/>
      <c r="F126" s="7" t="n"/>
    </row>
    <row r="127"/>
    <row r="128"/>
    <row r="129">
      <c r="B129" s="23" t="inlineStr">
        <is>
          <t>Ramp-up Kosten</t>
        </is>
      </c>
      <c r="C129" s="23" t="inlineStr">
        <is>
          <t>Anmerkungen</t>
        </is>
      </c>
      <c r="D129" s="24" t="n"/>
      <c r="E129" s="24" t="n"/>
      <c r="F129" s="24" t="n"/>
    </row>
    <row r="130">
      <c r="B130" s="35" t="inlineStr">
        <is>
          <t>Betriebsmittel</t>
        </is>
      </c>
      <c r="C130" s="36" t="inlineStr">
        <is>
          <t>XXX</t>
        </is>
      </c>
      <c r="D130" s="37" t="n"/>
      <c r="E130" s="38" t="n"/>
      <c r="F130" s="56" t="n">
        <v>0</v>
      </c>
    </row>
    <row r="131">
      <c r="B131" s="35" t="inlineStr">
        <is>
          <t>Werbung / Marketing</t>
        </is>
      </c>
      <c r="C131" s="25" t="inlineStr">
        <is>
          <t>XXX</t>
        </is>
      </c>
      <c r="D131" s="39" t="n"/>
      <c r="E131" s="40" t="n"/>
      <c r="F131" s="56" t="n">
        <v>0</v>
      </c>
    </row>
    <row r="132">
      <c r="B132" s="35" t="inlineStr">
        <is>
          <t>Personalbeschaffung</t>
        </is>
      </c>
      <c r="C132" s="25" t="inlineStr">
        <is>
          <t>XXX</t>
        </is>
      </c>
      <c r="D132" s="39" t="n"/>
      <c r="E132" s="40" t="n"/>
      <c r="F132" s="56" t="n">
        <v>0</v>
      </c>
    </row>
    <row r="133">
      <c r="B133" s="35" t="inlineStr">
        <is>
          <t>Planungskosten</t>
        </is>
      </c>
      <c r="C133" s="25" t="inlineStr">
        <is>
          <t>XXX</t>
        </is>
      </c>
      <c r="D133" s="39" t="n"/>
      <c r="E133" s="40" t="n"/>
      <c r="F133" s="56" t="n">
        <v>0</v>
      </c>
    </row>
    <row r="134">
      <c r="B134" s="35" t="inlineStr">
        <is>
          <t>Makler</t>
        </is>
      </c>
      <c r="C134" s="25" t="inlineStr">
        <is>
          <t>XXX</t>
        </is>
      </c>
      <c r="D134" s="39" t="n"/>
      <c r="E134" s="40" t="n"/>
      <c r="F134" s="56" t="n">
        <v>0</v>
      </c>
    </row>
    <row r="135">
      <c r="B135" s="35" t="inlineStr">
        <is>
          <t>[Platzhalter]</t>
        </is>
      </c>
      <c r="C135" s="25" t="inlineStr">
        <is>
          <t>XXX</t>
        </is>
      </c>
      <c r="D135" s="39" t="n"/>
      <c r="E135" s="40" t="n"/>
      <c r="F135" s="56" t="n">
        <v>0</v>
      </c>
    </row>
    <row r="136">
      <c r="B136" s="35" t="inlineStr">
        <is>
          <t>[Platzhalter]</t>
        </is>
      </c>
      <c r="C136" s="25" t="inlineStr">
        <is>
          <t>XXX</t>
        </is>
      </c>
      <c r="D136" s="39" t="n"/>
      <c r="E136" s="40" t="n"/>
      <c r="F136" s="56" t="n">
        <v>0</v>
      </c>
    </row>
    <row r="137">
      <c r="B137" s="35" t="inlineStr">
        <is>
          <t>[Platzhalter]</t>
        </is>
      </c>
      <c r="C137" s="25" t="inlineStr">
        <is>
          <t>XXX</t>
        </is>
      </c>
      <c r="D137" s="39" t="n"/>
      <c r="E137" s="40" t="n"/>
      <c r="F137" s="56" t="n">
        <v>0</v>
      </c>
    </row>
    <row r="138">
      <c r="B138" s="35" t="inlineStr">
        <is>
          <t>[Platzhalter]</t>
        </is>
      </c>
      <c r="C138" s="25" t="inlineStr">
        <is>
          <t>XXX</t>
        </is>
      </c>
      <c r="D138" s="39" t="n"/>
      <c r="E138" s="40" t="n"/>
      <c r="F138" s="56" t="n">
        <v>0</v>
      </c>
    </row>
    <row r="139">
      <c r="B139" s="35" t="inlineStr">
        <is>
          <t>[Platzhalter]</t>
        </is>
      </c>
      <c r="C139" s="25" t="inlineStr">
        <is>
          <t>XXX</t>
        </is>
      </c>
      <c r="D139" s="39" t="n"/>
      <c r="E139" s="40" t="n"/>
      <c r="F139" s="56" t="n">
        <v>0</v>
      </c>
    </row>
    <row r="140" ht="8.25" customHeight="1">
      <c r="B140" s="14" t="n"/>
      <c r="C140" s="15" t="n"/>
      <c r="D140" s="16" t="n"/>
      <c r="E140" s="17" t="n"/>
      <c r="F140" s="17" t="n"/>
    </row>
    <row r="141">
      <c r="B141" s="1" t="inlineStr">
        <is>
          <t>Summe</t>
        </is>
      </c>
      <c r="C141" s="18" t="n"/>
      <c r="D141" s="19" t="n"/>
      <c r="E141" s="20" t="n"/>
      <c r="F141" s="20">
        <f>+SUM(F130:F140)</f>
        <v/>
      </c>
      <c r="G141" s="58" t="n"/>
    </row>
    <row r="142" ht="6.75" customHeight="1">
      <c r="B142" s="7" t="n"/>
      <c r="C142" s="8" t="n"/>
      <c r="D142" s="7" t="n"/>
      <c r="E142" s="7" t="n"/>
      <c r="F142" s="7" t="n"/>
    </row>
    <row r="145">
      <c r="B145" s="65" t="n"/>
      <c r="C145" s="65" t="n"/>
      <c r="D145" s="65" t="n"/>
      <c r="E145" s="65" t="n"/>
      <c r="F145" s="65" t="n"/>
    </row>
    <row r="147"/>
    <row r="148">
      <c r="B148" s="1" t="inlineStr">
        <is>
          <t>Übersicht Mietvertragskonditionen</t>
        </is>
      </c>
    </row>
    <row r="149"/>
    <row r="150">
      <c r="B150" s="3" t="inlineStr">
        <is>
          <t>Standort:</t>
        </is>
      </c>
      <c r="C150" t="inlineStr">
        <is>
          <t>Baesweiler (Bestand)</t>
        </is>
      </c>
    </row>
    <row r="151"/>
    <row r="152">
      <c r="B152" s="4" t="inlineStr">
        <is>
          <t>Eckdaten</t>
        </is>
      </c>
      <c r="C152" s="5" t="n"/>
      <c r="D152" s="5" t="n"/>
      <c r="E152" s="5" t="n"/>
      <c r="F152" s="5" t="n"/>
      <c r="H152" s="47" t="inlineStr">
        <is>
          <t>Anmerkung / Quelle</t>
        </is>
      </c>
    </row>
    <row r="153">
      <c r="B153" s="6" t="inlineStr">
        <is>
          <t>Eigentümer</t>
        </is>
      </c>
      <c r="C153" s="25" t="inlineStr">
        <is>
          <t>Jans &amp; Willems GbR</t>
        </is>
      </c>
      <c r="D153" s="26" t="n"/>
      <c r="E153" s="26" t="n"/>
      <c r="F153" s="26" t="n"/>
    </row>
    <row r="154">
      <c r="B154" s="6" t="inlineStr">
        <is>
          <t>Vermieter</t>
        </is>
      </c>
      <c r="C154" s="25" t="inlineStr">
        <is>
          <t>Jans &amp; Willems GbR</t>
        </is>
      </c>
      <c r="D154" s="26" t="n"/>
      <c r="E154" s="26" t="n"/>
      <c r="F154" s="26" t="n"/>
      <c r="H154" s="47" t="inlineStr">
        <is>
          <t>Pfarrer-Hecker-Str. 33, 41849 Wassenberg, vertreten durch Werner Jans.</t>
        </is>
      </c>
    </row>
    <row r="155">
      <c r="B155" s="6" t="inlineStr">
        <is>
          <t>Mieter</t>
        </is>
      </c>
      <c r="C155" s="25" t="inlineStr">
        <is>
          <t>365° Pflegezentrum Marianne Weiß GmbH</t>
        </is>
      </c>
      <c r="D155" s="26" t="n"/>
      <c r="E155" s="26" t="n"/>
      <c r="F155" s="26" t="n"/>
      <c r="H155" s="47" t="inlineStr">
        <is>
          <t>opseo-Gruppe; Sitz Alleestraße 68, 42853 Remscheid.</t>
        </is>
      </c>
    </row>
    <row r="156">
      <c r="B156" s="6" t="inlineStr">
        <is>
          <t>Adresse</t>
        </is>
      </c>
      <c r="C156" s="25" t="inlineStr">
        <is>
          <t>Lessingstr. 3, 52499 Baesweiler</t>
        </is>
      </c>
      <c r="D156" s="26" t="n"/>
      <c r="E156" s="26" t="n"/>
      <c r="F156" s="26" t="n"/>
    </row>
    <row r="157">
      <c r="B157" s="6" t="inlineStr">
        <is>
          <t>Baujahr der Immobilie</t>
        </is>
      </c>
      <c r="C157" s="25" t="inlineStr">
        <is>
          <t>XXX</t>
        </is>
      </c>
      <c r="D157" s="26" t="n"/>
      <c r="E157" s="26" t="n"/>
      <c r="F157" s="26" t="n"/>
      <c r="H157" s="47" t="inlineStr">
        <is>
          <t>Im Vertrag nicht genannt.</t>
        </is>
      </c>
    </row>
    <row r="158">
      <c r="B158" s="6" t="inlineStr">
        <is>
          <t>Mietzweck</t>
        </is>
      </c>
      <c r="C158" s="25" t="inlineStr">
        <is>
          <t>Intensivpflege-WG</t>
        </is>
      </c>
      <c r="D158" s="26" t="n"/>
      <c r="E158" s="26" t="n"/>
      <c r="F158" s="26" t="n"/>
    </row>
    <row r="159">
      <c r="B159" s="6" t="inlineStr">
        <is>
          <t>Festlaufzeit</t>
        </is>
      </c>
      <c r="C159" s="25" t="inlineStr">
        <is>
          <t>5 Jahre</t>
        </is>
      </c>
      <c r="D159" s="26" t="n"/>
      <c r="E159" s="26" t="n"/>
      <c r="F159" s="26" t="n"/>
      <c r="H159" s="47" t="inlineStr">
        <is>
          <t>Kündigungsausschluss für beide Parteien (§2.2). WIDERSPRUCH: §2.3 räumt das Optionsrecht erst "nach Ablauf der ersten zehn Mietjahre" ein, §4.1 fixiert die Miete für zehn Jahre. Am Scan mit zwei OCR-Verfahren verifiziert – die Abweichung steht so im Dokument. Klärungsbedarf.</t>
        </is>
      </c>
    </row>
    <row r="160">
      <c r="B160" s="6" t="inlineStr">
        <is>
          <t>Verlängerungsoptionen</t>
        </is>
      </c>
      <c r="C160" s="25" t="inlineStr">
        <is>
          <t>2x 5 Jahre</t>
        </is>
      </c>
      <c r="D160" s="26" t="n"/>
      <c r="E160" s="26" t="n"/>
      <c r="F160" s="26" t="n"/>
      <c r="H160" s="47" t="inlineStr">
        <is>
          <t>Ausübung schriftlich spätestens 6 Monate vor Ablauf (§2.3); danach unbestimmte Zeit mit 6-Monats-Kündigungsfrist.</t>
        </is>
      </c>
    </row>
    <row r="161">
      <c r="B161" s="6" t="inlineStr">
        <is>
          <t>Mietbeginn</t>
        </is>
      </c>
      <c r="C161" s="25" t="inlineStr">
        <is>
          <t>Monatserster nach Vollzug des Kaufvertrags</t>
        </is>
      </c>
      <c r="D161" s="26" t="n"/>
      <c r="E161" s="26" t="n"/>
      <c r="F161" s="26" t="n"/>
      <c r="H161" s="47" t="inlineStr">
        <is>
          <t>Vollzugsdatum des Kaufvertrags Kuijpers v. 17.03.2023 zu bestätigen.</t>
        </is>
      </c>
    </row>
    <row r="162">
      <c r="B162" s="6" t="inlineStr">
        <is>
          <t>Übergabezeitpunkt</t>
        </is>
      </c>
      <c r="C162" s="25" t="inlineStr">
        <is>
          <t>keine Vertragsstrafe</t>
        </is>
      </c>
      <c r="D162" s="26" t="n"/>
      <c r="E162" s="26" t="n"/>
      <c r="F162" s="26" t="n"/>
      <c r="H162" s="47" t="inlineStr">
        <is>
          <t>Übergabeanspruch erst nach Stellung der Sicherheit (§3.1); geringfügige Mängel hindern die Übergabe nicht (§3.2).</t>
        </is>
      </c>
    </row>
    <row r="163">
      <c r="B163" s="6" t="inlineStr">
        <is>
          <t>Aufschiebende Bedingung / Rücktrittsrecht</t>
        </is>
      </c>
      <c r="C163" s="25" t="inlineStr">
        <is>
          <t>Vollzug Kaufvertrag Kuijpers</t>
        </is>
      </c>
      <c r="D163" s="26" t="n"/>
      <c r="E163" s="26" t="n"/>
      <c r="F163" s="26" t="n"/>
      <c r="H163" s="47" t="inlineStr">
        <is>
          <t>Der gesamte Mietvertrag steht unter dieser aufschiebenden Bedingung (Kuijpers Ambulante Pflege GmbH / PWH GmbH &amp; Co. KG, Vertrag v. 17.03.2023).</t>
        </is>
      </c>
    </row>
    <row r="164">
      <c r="B164" s="6" t="inlineStr">
        <is>
          <t>Mietfreie Zeit</t>
        </is>
      </c>
      <c r="C164" s="25" t="inlineStr">
        <is>
          <t>keine</t>
        </is>
      </c>
      <c r="D164" s="26" t="n"/>
      <c r="E164" s="26" t="n"/>
      <c r="F164" s="26" t="n"/>
    </row>
    <row r="165">
      <c r="B165" s="6" t="inlineStr">
        <is>
          <t>Wertsicherung (VPI)</t>
        </is>
      </c>
      <c r="C165" s="25" t="inlineStr">
        <is>
          <t>keine; Miete 10 Jahre fest</t>
        </is>
      </c>
      <c r="D165" s="26" t="n"/>
      <c r="E165" s="26" t="n"/>
      <c r="F165" s="26" t="n"/>
      <c r="H165" s="47" t="inlineStr">
        <is>
          <t>Deutlicher Vorteil gegenüber Würselen, das mit 100% der Indexveränderung ab &gt;5% indexiert ist.</t>
        </is>
      </c>
    </row>
    <row r="166">
      <c r="B166" s="6" t="inlineStr">
        <is>
          <t>Rückbauverpflichtung Mieter</t>
        </is>
      </c>
      <c r="C166" s="25" t="inlineStr">
        <is>
          <t>keine</t>
        </is>
      </c>
      <c r="D166" s="26" t="n"/>
      <c r="E166" s="26" t="n"/>
      <c r="F166" s="26" t="n"/>
      <c r="H166" s="47" t="inlineStr">
        <is>
          <t>§15.1 stellt ausdrücklich klar, dass keine Rückbauverpflichtungen entstehen. Der Vermieter kann die Übernahme von Um-/Einbauten gegen Zeitwertentschädigung verlangen (§8.1.1).</t>
        </is>
      </c>
    </row>
    <row r="167">
      <c r="B167" s="6" t="inlineStr">
        <is>
          <t>Untervermietung</t>
        </is>
      </c>
      <c r="C167" s="25" t="inlineStr">
        <is>
          <t>Ja, zustimmungspflichtig</t>
        </is>
      </c>
      <c r="D167" s="26" t="n"/>
      <c r="E167" s="26" t="n"/>
      <c r="F167" s="26" t="n"/>
      <c r="H167" s="47" t="inlineStr">
        <is>
          <t>Ohne Zustimmung zulässig an verbundene Unternehmen i.S.d. §§15 ff. AktG sowie an pflegebedürftige Bewohner (§6.1).</t>
        </is>
      </c>
    </row>
    <row r="168" ht="65.25" customHeight="1">
      <c r="B168" s="6" t="inlineStr">
        <is>
          <t>Mietsicherheit</t>
        </is>
      </c>
      <c r="C168" s="51" t="inlineStr">
        <is>
          <t>Patronatserklärung. Größenordnung: 1 Jahreskaltmiete.</t>
        </is>
      </c>
      <c r="D168" s="52" t="n"/>
      <c r="E168" s="52" t="n"/>
      <c r="F168" s="52" t="n"/>
      <c r="H168" s="47" t="inlineStr">
        <is>
          <t>Patronatserklärung der Muttergesellschaft opseo Intensivpflege Holding B.V. = 102.000 €, binnen 4 Wochen nach Unterzeichnung (§5.1); Austausch bei Gesellschafterwechsel möglich (§5.3).</t>
        </is>
      </c>
    </row>
    <row r="169">
      <c r="B169" s="6" t="inlineStr">
        <is>
          <t>Konkurrenzschutz</t>
        </is>
      </c>
      <c r="C169" s="25" t="inlineStr">
        <is>
          <t>nein</t>
        </is>
      </c>
      <c r="D169" s="26" t="n"/>
      <c r="E169" s="26" t="n"/>
      <c r="F169" s="26" t="n"/>
    </row>
    <row r="170">
      <c r="B170" s="6" t="inlineStr">
        <is>
          <t>Sonderkündigungsrecht</t>
        </is>
      </c>
      <c r="C170" s="25" t="inlineStr">
        <is>
          <t>Ja, bei Nutzungsuntersagung</t>
        </is>
      </c>
      <c r="D170" s="26" t="n"/>
      <c r="E170" s="26" t="n"/>
      <c r="F170" s="26" t="n"/>
      <c r="H170" s="47" t="inlineStr">
        <is>
          <t>Bei behördlicher Nutzungsuntersagung wegen des baulichen bzw. bau- und brandschutztechnischen Zustands, sofern der Vermieter sie nicht abwenden kann (§1.4).</t>
        </is>
      </c>
    </row>
    <row r="171">
      <c r="B171" s="6" t="inlineStr">
        <is>
          <t>Instandhaltung/Instandsetzung</t>
        </is>
      </c>
      <c r="C171" s="25" t="inlineStr">
        <is>
          <t>Dach und Fach beim Vermieter; Fläche beim Mieter</t>
        </is>
      </c>
      <c r="D171" s="26" t="n"/>
      <c r="E171" s="26" t="n"/>
      <c r="F171" s="26" t="n"/>
      <c r="H171" s="47" t="inlineStr">
        <is>
          <t>Übrige Instandhaltung veranlasst der Vermieter, Kosten umgelegt bis max. 5% der jährlichen Nettokaltmiete (§7.2). Schönheitsreparaturen beim Mieter.</t>
        </is>
      </c>
    </row>
    <row r="172">
      <c r="B172" s="6" t="inlineStr">
        <is>
          <t>Besonderheiten / Sonstiges</t>
        </is>
      </c>
      <c r="C172" s="25" t="inlineStr">
        <is>
          <t>Schlussabnahme fehlt; Inventar vermieterseitig gestellt</t>
        </is>
      </c>
      <c r="D172" s="26" t="n"/>
      <c r="E172" s="26" t="n"/>
      <c r="F172" s="26" t="n"/>
      <c r="H172" s="47" t="inlineStr">
        <is>
          <t>RED FLAG: Schlussabnahmebescheinigung liegt nicht vor, Nachtragsgenehmigung seit 02.02.2022 beantragt (§1.1) – zusammen mit dem Sonderkündigungsrecht aus §1.4 zu bewerten. Eigener Stromliefervertrag mit Abnahmepflicht für PV-Strom (§4.2.2). Eintritt in bestehende Untermietverträge (§18). Verkehrssicherung und Winterdienst beim Mieter (§17). Keine USt auf die Miete (§4.1). Gerichtsstand Wassenberg.</t>
        </is>
      </c>
    </row>
    <row r="173" ht="6.75" customHeight="1">
      <c r="B173" s="7" t="n"/>
      <c r="C173" s="8" t="n"/>
      <c r="D173" s="7" t="n"/>
      <c r="E173" s="7" t="n"/>
      <c r="F173" s="7" t="n"/>
    </row>
    <row r="174"/>
    <row r="175">
      <c r="B175" s="9" t="inlineStr">
        <is>
          <t>Benchmarks (Neubau)</t>
        </is>
      </c>
      <c r="C175" s="9" t="n"/>
      <c r="D175" s="9" t="n"/>
      <c r="E175" s="9" t="n"/>
      <c r="F175" s="9" t="n"/>
    </row>
    <row r="176">
      <c r="B176" s="6" t="inlineStr">
        <is>
          <t>Miete/m² (Neubau) - kein BKZ</t>
        </is>
      </c>
      <c r="C176" s="62" t="n">
        <v>20</v>
      </c>
      <c r="D176" s="26" t="n"/>
      <c r="E176" s="26" t="n"/>
      <c r="F176" s="26" t="n"/>
    </row>
    <row r="177">
      <c r="B177" s="6" t="inlineStr">
        <is>
          <t>Miete/m² inkl. BKZ</t>
        </is>
      </c>
      <c r="C177" s="62" t="n">
        <v>20</v>
      </c>
      <c r="D177" s="26" t="n"/>
      <c r="E177" s="26" t="n"/>
      <c r="F177" s="26" t="n"/>
    </row>
    <row r="178">
      <c r="B178" s="6" t="inlineStr">
        <is>
          <t>Nebenkosten/m²</t>
        </is>
      </c>
      <c r="C178" s="62" t="n">
        <v>3</v>
      </c>
      <c r="D178" s="26" t="n"/>
      <c r="E178" s="26" t="n"/>
      <c r="F178" s="26" t="n"/>
    </row>
    <row r="179">
      <c r="B179" s="6" t="inlineStr">
        <is>
          <t>Fläche pro Bett</t>
        </is>
      </c>
      <c r="C179" s="63" t="inlineStr">
        <is>
          <t>50m²</t>
        </is>
      </c>
      <c r="D179" s="64" t="inlineStr">
        <is>
          <t xml:space="preserve"> (d.h. 6er WG: 300m²; 12er WG: 600m²)</t>
        </is>
      </c>
      <c r="E179" s="26" t="n"/>
      <c r="F179" s="26" t="n"/>
    </row>
    <row r="180">
      <c r="B180" s="6" t="inlineStr">
        <is>
          <t>Miete pro Bett pro Monat (exkl. Baukostenzuschuss)</t>
        </is>
      </c>
      <c r="C180" s="63" t="n">
        <v>1000</v>
      </c>
      <c r="D180" s="26" t="n"/>
      <c r="E180" s="26" t="n"/>
      <c r="F180" s="26" t="n"/>
    </row>
    <row r="181">
      <c r="B181" s="6" t="inlineStr">
        <is>
          <t>Miete pro Bett pro Monat (inkl. BKZ über 10 Jahre)</t>
        </is>
      </c>
      <c r="C181" s="63">
        <f>+C180</f>
        <v/>
      </c>
      <c r="D181" s="26" t="n"/>
      <c r="E181" s="26" t="n"/>
      <c r="F181" s="26" t="n"/>
    </row>
    <row r="182">
      <c r="B182" s="6" t="inlineStr">
        <is>
          <t>Baukostenzuschuss pro Bett</t>
        </is>
      </c>
      <c r="C182" s="63" t="n">
        <v>0</v>
      </c>
      <c r="D182" s="64" t="n"/>
      <c r="E182" s="26" t="n"/>
      <c r="F182" s="26" t="n"/>
    </row>
    <row r="183">
      <c r="B183" s="6" t="inlineStr">
        <is>
          <t>Capex pro Bett (Möbel, Ausstattung, etc.)</t>
        </is>
      </c>
      <c r="C183" s="63" t="n">
        <v>30000</v>
      </c>
      <c r="D183" s="26" t="n"/>
      <c r="E183" s="26" t="n"/>
      <c r="F183" s="26" t="n"/>
    </row>
    <row r="184">
      <c r="B184" s="6" t="inlineStr">
        <is>
          <t>Baukosten pro qm (Neubau)</t>
        </is>
      </c>
      <c r="C184" s="25" t="inlineStr">
        <is>
          <t>TBD</t>
        </is>
      </c>
      <c r="D184" s="26" t="n"/>
      <c r="E184" s="26" t="n"/>
      <c r="F184" s="26" t="n"/>
    </row>
    <row r="185"/>
    <row r="186">
      <c r="B186" s="9" t="inlineStr">
        <is>
          <t>Benchmarks (Bestand)</t>
        </is>
      </c>
      <c r="C186" s="9" t="n"/>
      <c r="D186" s="9" t="n"/>
      <c r="E186" s="9" t="n"/>
      <c r="F186" s="9" t="n"/>
    </row>
    <row r="187">
      <c r="B187" s="6" t="inlineStr">
        <is>
          <t>Miete/m² (Bestand) - kein BKZ</t>
        </is>
      </c>
      <c r="C187" s="62" t="n">
        <v>20</v>
      </c>
      <c r="D187" s="26" t="n"/>
      <c r="E187" s="26" t="n"/>
      <c r="F187" s="26" t="n"/>
    </row>
    <row r="188">
      <c r="B188" s="6" t="inlineStr">
        <is>
          <t>Miete/m² (Bestand) inkl. BKZ</t>
        </is>
      </c>
      <c r="C188" s="62" t="n">
        <v>25</v>
      </c>
      <c r="D188" s="26" t="n"/>
      <c r="E188" s="26" t="n"/>
      <c r="F188" s="26" t="n"/>
    </row>
    <row r="189">
      <c r="B189" s="6" t="inlineStr">
        <is>
          <t>Nebenkosten/m²</t>
        </is>
      </c>
      <c r="C189" s="62" t="n">
        <v>3</v>
      </c>
      <c r="D189" s="26" t="n"/>
      <c r="E189" s="26" t="n"/>
      <c r="F189" s="26" t="n"/>
    </row>
    <row r="190">
      <c r="B190" s="6" t="inlineStr">
        <is>
          <t>Fläche pro Bett</t>
        </is>
      </c>
      <c r="C190" s="63" t="inlineStr">
        <is>
          <t>50m²</t>
        </is>
      </c>
      <c r="D190" s="64" t="inlineStr">
        <is>
          <t xml:space="preserve"> (d.h. 6er WG: 300m²; 12er WG: 600m²)</t>
        </is>
      </c>
      <c r="E190" s="26" t="n"/>
      <c r="F190" s="26" t="n"/>
    </row>
    <row r="191">
      <c r="B191" s="6" t="inlineStr">
        <is>
          <t>Miete pro Bett pro Monat (exkl. Baukostenzuschuss)</t>
        </is>
      </c>
      <c r="C191" s="63" t="n">
        <v>1000</v>
      </c>
      <c r="D191" s="26" t="n"/>
      <c r="E191" s="26" t="n"/>
      <c r="F191" s="26" t="n"/>
    </row>
    <row r="192">
      <c r="B192" s="6" t="inlineStr">
        <is>
          <t>Miete pro Bett pro Monat (inkl. BKZ über 10 Jahre)</t>
        </is>
      </c>
      <c r="C192" s="63" t="n">
        <v>1250</v>
      </c>
      <c r="D192" s="26" t="n"/>
      <c r="E192" s="26" t="n"/>
      <c r="F192" s="26" t="n"/>
    </row>
    <row r="193">
      <c r="B193" s="6" t="inlineStr">
        <is>
          <t>Baukostenzuschuss pro Bett</t>
        </is>
      </c>
      <c r="C193" s="63" t="n">
        <v>40000</v>
      </c>
      <c r="D193" s="64" t="inlineStr">
        <is>
          <t>(d.h. 6er WG: 180.000 €, 12er WG: 360.000 €)</t>
        </is>
      </c>
      <c r="E193" s="26" t="n"/>
      <c r="F193" s="26" t="n"/>
    </row>
    <row r="194">
      <c r="B194" s="6" t="inlineStr">
        <is>
          <t>Capex pro Bett (Möbel, Ausstattung, etc.)</t>
        </is>
      </c>
      <c r="C194" s="63" t="n">
        <v>30000</v>
      </c>
      <c r="D194" s="26" t="n"/>
      <c r="E194" s="26" t="n"/>
      <c r="F194" s="26" t="n"/>
    </row>
    <row r="195">
      <c r="B195" s="6" t="inlineStr">
        <is>
          <t>Baukosten pro qm (Neubau)</t>
        </is>
      </c>
      <c r="C195" s="27" t="n">
        <v>0</v>
      </c>
      <c r="D195" s="26" t="n"/>
      <c r="E195" s="26" t="n"/>
      <c r="F195" s="26" t="n"/>
    </row>
    <row r="196"/>
    <row r="197">
      <c r="B197" s="9" t="inlineStr">
        <is>
          <t>Mietkosten</t>
        </is>
      </c>
      <c r="C197" s="9" t="n"/>
      <c r="D197" s="9" t="n"/>
      <c r="E197" s="9" t="n"/>
      <c r="F197" s="9" t="n"/>
    </row>
    <row r="198">
      <c r="B198" s="10" t="inlineStr">
        <is>
          <t>Einheit 1</t>
        </is>
      </c>
      <c r="C198" s="10" t="n"/>
      <c r="D198" s="10" t="n"/>
      <c r="E198" s="10" t="n"/>
      <c r="F198" s="10" t="n"/>
    </row>
    <row r="199">
      <c r="B199" s="6" t="inlineStr">
        <is>
          <t>Art (z.B. WG, Büro, etc.)</t>
        </is>
      </c>
      <c r="C199" s="27" t="inlineStr">
        <is>
          <t>WG (Intensivpflege-Wohngemeinschaft)</t>
        </is>
      </c>
      <c r="D199" s="26" t="n"/>
      <c r="E199" s="26" t="n"/>
      <c r="F199" s="26" t="n"/>
    </row>
    <row r="200">
      <c r="B200" s="6" t="inlineStr">
        <is>
          <t>Lage der Mietfläche (z.B. EG, 1. OG)</t>
        </is>
      </c>
      <c r="C200" s="27" t="inlineStr">
        <is>
          <t>XXX</t>
        </is>
      </c>
      <c r="D200" s="26" t="n"/>
      <c r="E200" s="26" t="n"/>
      <c r="F200" s="26" t="n"/>
      <c r="H200" s="47" t="inlineStr">
        <is>
          <t>Etagenlage im Vertrag nicht spezifiziert; Abstellräume im Kellergeschoss erfasst (§1.1). Die EG-Wohnung ist nicht Mietgegenstand (§9.3).</t>
        </is>
      </c>
    </row>
    <row r="201">
      <c r="B201" s="6" t="inlineStr">
        <is>
          <t>Kapazität (Anzahl Betten)</t>
        </is>
      </c>
      <c r="C201" s="27" t="n">
        <v>18</v>
      </c>
      <c r="D201" s="26" t="n"/>
      <c r="E201" s="26" t="n"/>
      <c r="F201" s="26" t="n"/>
      <c r="H201" s="47" t="inlineStr">
        <is>
          <t>ca. 18 Patientenzimmer (§1.1); die NK-Kalkulation (250 €/Platz = 4.700 €) impliziert 18,8 Plätze.</t>
        </is>
      </c>
    </row>
    <row r="202">
      <c r="B202" s="6" t="inlineStr">
        <is>
          <t>Größe der Fläche (in qm)</t>
        </is>
      </c>
      <c r="C202" s="28" t="n">
        <v>1082</v>
      </c>
      <c r="D202" s="26" t="n"/>
      <c r="E202" s="26" t="n"/>
      <c r="F202" s="26" t="n"/>
    </row>
    <row r="203">
      <c r="B203" s="6" t="inlineStr">
        <is>
          <t>Mietbeginn (falls abweichned)</t>
        </is>
      </c>
      <c r="C203" s="29" t="inlineStr">
        <is>
          <t>XXX</t>
        </is>
      </c>
      <c r="D203" s="26" t="n"/>
      <c r="E203" s="26" t="n"/>
      <c r="F203" s="26" t="n"/>
    </row>
    <row r="204"/>
    <row r="205">
      <c r="B205" s="11" t="inlineStr">
        <is>
          <t>Kosten Einheit 1</t>
        </is>
      </c>
      <c r="C205" s="12" t="inlineStr">
        <is>
          <t>Anzahl</t>
        </is>
      </c>
      <c r="D205" s="12" t="inlineStr">
        <is>
          <t>€ pro Einheit</t>
        </is>
      </c>
      <c r="E205" s="12" t="inlineStr">
        <is>
          <t>€ pro Monat</t>
        </is>
      </c>
      <c r="F205" s="12" t="inlineStr">
        <is>
          <t>€ pro Jahr</t>
        </is>
      </c>
    </row>
    <row r="206">
      <c r="B206" s="2" t="inlineStr">
        <is>
          <t>Nettokaltmiete</t>
        </is>
      </c>
      <c r="C206" s="30" t="n">
        <v>1082</v>
      </c>
      <c r="D206" s="31" t="n">
        <v>7.855822550831793</v>
      </c>
      <c r="E206" s="13">
        <f>+C206*D206</f>
        <v/>
      </c>
      <c r="F206" s="13">
        <f>+E206*12</f>
        <v/>
      </c>
      <c r="H206" s="47" t="inlineStr">
        <is>
          <t>Pauschalmiete 8.500 € bzw. NK-Pauschale 4.700 €; die qm-Preise sind rechnerisch abgeleitet.</t>
        </is>
      </c>
    </row>
    <row r="207">
      <c r="B207" s="6" t="inlineStr">
        <is>
          <t>Nebenkostenpauschale</t>
        </is>
      </c>
      <c r="C207" s="32">
        <f>+C206</f>
        <v/>
      </c>
      <c r="D207" s="33" t="n">
        <v>4.343807763401109</v>
      </c>
      <c r="E207" s="13">
        <f>+C207*D207</f>
        <v/>
      </c>
      <c r="F207" s="13">
        <f>+E207*12</f>
        <v/>
      </c>
    </row>
    <row r="208">
      <c r="B208" s="6" t="inlineStr">
        <is>
          <t>Stellplätze</t>
        </is>
      </c>
      <c r="C208" s="34" t="n">
        <v>0</v>
      </c>
      <c r="D208" s="33" t="n">
        <v>0</v>
      </c>
      <c r="E208" s="13">
        <f>+C208*D208</f>
        <v/>
      </c>
      <c r="F208" s="13">
        <f>+E208*12</f>
        <v/>
      </c>
    </row>
    <row r="209">
      <c r="B209" s="6" t="inlineStr">
        <is>
          <t>Terasse</t>
        </is>
      </c>
      <c r="C209" s="32" t="n">
        <v>0</v>
      </c>
      <c r="D209" s="33" t="n">
        <v>0</v>
      </c>
      <c r="E209" s="13">
        <f>+C209*D209</f>
        <v/>
      </c>
      <c r="F209" s="13">
        <f>+E209*12</f>
        <v/>
      </c>
    </row>
    <row r="210">
      <c r="B210" s="6" t="inlineStr">
        <is>
          <t>Keller</t>
        </is>
      </c>
      <c r="C210" s="32" t="n">
        <v>0</v>
      </c>
      <c r="D210" s="33" t="n">
        <v>0</v>
      </c>
      <c r="E210" s="13">
        <f>+C210*D210</f>
        <v/>
      </c>
      <c r="F210" s="13">
        <f>+E210*12</f>
        <v/>
      </c>
    </row>
    <row r="211">
      <c r="B211" s="6" t="inlineStr">
        <is>
          <t>Sonstiges</t>
        </is>
      </c>
      <c r="C211" s="34" t="n">
        <v>0</v>
      </c>
      <c r="D211" s="33" t="n">
        <v>0</v>
      </c>
      <c r="E211" s="13">
        <f>+C211*D211</f>
        <v/>
      </c>
      <c r="F211" s="13">
        <f>+E211*12</f>
        <v/>
      </c>
    </row>
    <row r="212" ht="8.25" customHeight="1">
      <c r="B212" s="14" t="n"/>
      <c r="C212" s="15" t="n"/>
      <c r="D212" s="16" t="n"/>
      <c r="E212" s="17" t="n"/>
      <c r="F212" s="17" t="n"/>
    </row>
    <row r="213">
      <c r="B213" s="1" t="inlineStr">
        <is>
          <t>Summe</t>
        </is>
      </c>
      <c r="C213" s="18" t="n"/>
      <c r="D213" s="19" t="n"/>
      <c r="E213" s="20">
        <f>+SUM(E206:E212)</f>
        <v/>
      </c>
      <c r="F213" s="20">
        <f>+SUM(F206:F212)</f>
        <v/>
      </c>
    </row>
    <row r="214" ht="6.75" customHeight="1">
      <c r="B214" s="7" t="n"/>
      <c r="C214" s="8" t="n"/>
      <c r="D214" s="7" t="n"/>
      <c r="E214" s="7" t="n"/>
      <c r="F214" s="7" t="n"/>
    </row>
    <row r="215"/>
    <row r="216">
      <c r="B216" s="10" t="inlineStr">
        <is>
          <t>Einheit 2</t>
        </is>
      </c>
      <c r="C216" s="10" t="n"/>
      <c r="D216" s="10" t="n"/>
      <c r="E216" s="10" t="n"/>
      <c r="F216" s="10" t="n"/>
    </row>
    <row r="217">
      <c r="B217" s="6" t="inlineStr">
        <is>
          <t>Art (z.B. WG, Büro, etc.)</t>
        </is>
      </c>
      <c r="C217" s="27" t="inlineStr">
        <is>
          <t>entfällt</t>
        </is>
      </c>
      <c r="D217" s="26" t="n"/>
      <c r="E217" s="26" t="n"/>
      <c r="F217" s="26" t="n"/>
    </row>
    <row r="218">
      <c r="B218" s="6" t="inlineStr">
        <is>
          <t>Lage der Mietfläche (z.B. EG, 1. OG)</t>
        </is>
      </c>
      <c r="C218" s="27" t="n"/>
      <c r="D218" s="26" t="n"/>
      <c r="E218" s="26" t="n"/>
      <c r="F218" s="26" t="n"/>
    </row>
    <row r="219">
      <c r="B219" s="6" t="inlineStr">
        <is>
          <t>Kapazität (Anzahl Betten)</t>
        </is>
      </c>
      <c r="C219" s="27" t="n">
        <v>0</v>
      </c>
      <c r="D219" s="26" t="n"/>
      <c r="E219" s="26" t="n"/>
      <c r="F219" s="26" t="n"/>
    </row>
    <row r="220">
      <c r="B220" s="6" t="inlineStr">
        <is>
          <t>Größe der Fläche (in qm)</t>
        </is>
      </c>
      <c r="C220" s="28" t="n">
        <v>0</v>
      </c>
      <c r="D220" s="26" t="n"/>
      <c r="E220" s="26" t="n"/>
      <c r="F220" s="26" t="n"/>
    </row>
    <row r="221">
      <c r="B221" s="6" t="inlineStr">
        <is>
          <t>Mietbeginn (falls abweichned)</t>
        </is>
      </c>
      <c r="C221" s="29" t="n"/>
      <c r="D221" s="26" t="n"/>
      <c r="E221" s="26" t="n"/>
      <c r="F221" s="26" t="n"/>
    </row>
    <row r="222"/>
    <row r="223">
      <c r="B223" s="11" t="inlineStr">
        <is>
          <t>Kosten Einheit 2</t>
        </is>
      </c>
      <c r="C223" s="12" t="inlineStr">
        <is>
          <t>Anzahl</t>
        </is>
      </c>
      <c r="D223" s="12" t="inlineStr">
        <is>
          <t>€ pro Einheit</t>
        </is>
      </c>
      <c r="E223" s="12" t="inlineStr">
        <is>
          <t>€ pro Monat</t>
        </is>
      </c>
      <c r="F223" s="12" t="inlineStr">
        <is>
          <t>€ pro Jahr</t>
        </is>
      </c>
    </row>
    <row r="224">
      <c r="B224" s="2" t="inlineStr">
        <is>
          <t>Nettokaltmiete</t>
        </is>
      </c>
      <c r="C224" s="30" t="n">
        <v>0</v>
      </c>
      <c r="D224" s="31" t="n">
        <v>0</v>
      </c>
      <c r="E224" s="13">
        <f>+C224*D224</f>
        <v/>
      </c>
      <c r="F224" s="13">
        <f>+E224*12</f>
        <v/>
      </c>
    </row>
    <row r="225">
      <c r="B225" s="6" t="inlineStr">
        <is>
          <t>Nebenkostenpauschale</t>
        </is>
      </c>
      <c r="C225" s="32">
        <f>+C224</f>
        <v/>
      </c>
      <c r="D225" s="33" t="n">
        <v>0</v>
      </c>
      <c r="E225" s="13">
        <f>+C225*D225</f>
        <v/>
      </c>
      <c r="F225" s="13">
        <f>+E225*12</f>
        <v/>
      </c>
    </row>
    <row r="226">
      <c r="B226" s="6" t="inlineStr">
        <is>
          <t>Stellplätze</t>
        </is>
      </c>
      <c r="C226" s="34" t="n">
        <v>0</v>
      </c>
      <c r="D226" s="33" t="n">
        <v>0</v>
      </c>
      <c r="E226" s="13">
        <f>+C226*D226</f>
        <v/>
      </c>
      <c r="F226" s="13">
        <f>+E226*12</f>
        <v/>
      </c>
    </row>
    <row r="227">
      <c r="B227" s="6" t="inlineStr">
        <is>
          <t>Terasse</t>
        </is>
      </c>
      <c r="C227" s="32" t="n">
        <v>0</v>
      </c>
      <c r="D227" s="33" t="n">
        <v>0</v>
      </c>
      <c r="E227" s="13">
        <f>+C227*D227</f>
        <v/>
      </c>
      <c r="F227" s="13">
        <f>+E227*12</f>
        <v/>
      </c>
    </row>
    <row r="228">
      <c r="B228" s="6" t="inlineStr">
        <is>
          <t>Keller</t>
        </is>
      </c>
      <c r="C228" s="32" t="n">
        <v>0</v>
      </c>
      <c r="D228" s="33" t="n">
        <v>0</v>
      </c>
      <c r="E228" s="13">
        <f>+C228*D228</f>
        <v/>
      </c>
      <c r="F228" s="13">
        <f>+E228*12</f>
        <v/>
      </c>
    </row>
    <row r="229">
      <c r="B229" s="6" t="inlineStr">
        <is>
          <t>Sonstiges</t>
        </is>
      </c>
      <c r="C229" s="34" t="n">
        <v>0</v>
      </c>
      <c r="D229" s="33" t="n">
        <v>0</v>
      </c>
      <c r="E229" s="13">
        <f>+C229*D229</f>
        <v/>
      </c>
      <c r="F229" s="13">
        <f>+E229*12</f>
        <v/>
      </c>
    </row>
    <row r="230" ht="8.25" customHeight="1">
      <c r="B230" s="14" t="n"/>
      <c r="C230" s="15" t="n"/>
      <c r="D230" s="16" t="n"/>
      <c r="E230" s="17" t="n"/>
      <c r="F230" s="17" t="n"/>
    </row>
    <row r="231">
      <c r="B231" s="1" t="inlineStr">
        <is>
          <t>Summe</t>
        </is>
      </c>
      <c r="C231" s="18" t="n"/>
      <c r="D231" s="19" t="n"/>
      <c r="E231" s="20">
        <f>+SUM(E224:E230)</f>
        <v/>
      </c>
      <c r="F231" s="20">
        <f>+SUM(F224:F230)</f>
        <v/>
      </c>
    </row>
    <row r="232" ht="6.75" customHeight="1">
      <c r="B232" s="7" t="n"/>
      <c r="C232" s="8" t="n"/>
      <c r="D232" s="7" t="n"/>
      <c r="E232" s="7" t="n"/>
      <c r="F232" s="7" t="n"/>
    </row>
    <row r="233"/>
    <row r="234">
      <c r="B234" s="10" t="inlineStr">
        <is>
          <t>Einheit 3</t>
        </is>
      </c>
      <c r="C234" s="10" t="n"/>
      <c r="D234" s="10" t="n"/>
      <c r="E234" s="10" t="n"/>
      <c r="F234" s="10" t="n"/>
    </row>
    <row r="235">
      <c r="B235" s="6" t="inlineStr">
        <is>
          <t>Art (z.B. WG, Büro, etc.)</t>
        </is>
      </c>
      <c r="C235" s="27" t="inlineStr">
        <is>
          <t>entfällt</t>
        </is>
      </c>
      <c r="D235" s="26" t="n"/>
      <c r="E235" s="26" t="n"/>
      <c r="F235" s="26" t="n"/>
    </row>
    <row r="236">
      <c r="B236" s="6" t="inlineStr">
        <is>
          <t>Lage der Mietfläche (z.B. EG, 1. OG)</t>
        </is>
      </c>
      <c r="C236" s="27" t="n"/>
      <c r="D236" s="26" t="n"/>
      <c r="E236" s="26" t="n"/>
      <c r="F236" s="26" t="n"/>
    </row>
    <row r="237">
      <c r="B237" s="6" t="inlineStr">
        <is>
          <t>Kapazität (Anzahl Betten)</t>
        </is>
      </c>
      <c r="C237" s="27" t="n">
        <v>0</v>
      </c>
      <c r="D237" s="26" t="n"/>
      <c r="E237" s="26" t="n"/>
      <c r="F237" s="26" t="n"/>
    </row>
    <row r="238">
      <c r="B238" s="6" t="inlineStr">
        <is>
          <t>Größe der Fläche (in qm)</t>
        </is>
      </c>
      <c r="C238" s="28" t="n">
        <v>0</v>
      </c>
      <c r="D238" s="26" t="n"/>
      <c r="E238" s="26" t="n"/>
      <c r="F238" s="26" t="n"/>
    </row>
    <row r="239">
      <c r="B239" s="6" t="inlineStr">
        <is>
          <t>Mietbeginn (falls abweichned)</t>
        </is>
      </c>
      <c r="C239" s="29" t="n"/>
      <c r="D239" s="26" t="n"/>
      <c r="E239" s="26" t="n"/>
      <c r="F239" s="26" t="n"/>
    </row>
    <row r="240"/>
    <row r="241">
      <c r="B241" s="11" t="inlineStr">
        <is>
          <t>Kosten Einheit 3</t>
        </is>
      </c>
      <c r="C241" s="12" t="inlineStr">
        <is>
          <t>Anzahl</t>
        </is>
      </c>
      <c r="D241" s="12" t="inlineStr">
        <is>
          <t>€ pro Einheit</t>
        </is>
      </c>
      <c r="E241" s="12" t="inlineStr">
        <is>
          <t>€ pro Monat</t>
        </is>
      </c>
      <c r="F241" s="12" t="inlineStr">
        <is>
          <t>€ pro Jahr</t>
        </is>
      </c>
    </row>
    <row r="242">
      <c r="B242" s="2" t="inlineStr">
        <is>
          <t>Nettokaltmiete</t>
        </is>
      </c>
      <c r="C242" s="30" t="n">
        <v>0</v>
      </c>
      <c r="D242" s="31" t="n">
        <v>0</v>
      </c>
      <c r="E242" s="13">
        <f>+C242*D242</f>
        <v/>
      </c>
      <c r="F242" s="13">
        <f>+E242*12</f>
        <v/>
      </c>
    </row>
    <row r="243">
      <c r="B243" s="6" t="inlineStr">
        <is>
          <t>Nebenkostenpauschale</t>
        </is>
      </c>
      <c r="C243" s="32">
        <f>+C242</f>
        <v/>
      </c>
      <c r="D243" s="33" t="n">
        <v>0</v>
      </c>
      <c r="E243" s="13">
        <f>+C243*D243</f>
        <v/>
      </c>
      <c r="F243" s="13">
        <f>+E243*12</f>
        <v/>
      </c>
    </row>
    <row r="244">
      <c r="B244" s="6" t="inlineStr">
        <is>
          <t>Stellplätze</t>
        </is>
      </c>
      <c r="C244" s="34" t="n">
        <v>0</v>
      </c>
      <c r="D244" s="33" t="n">
        <v>0</v>
      </c>
      <c r="E244" s="13">
        <f>+C244*D244</f>
        <v/>
      </c>
      <c r="F244" s="13">
        <f>+E244*12</f>
        <v/>
      </c>
    </row>
    <row r="245">
      <c r="B245" s="6" t="inlineStr">
        <is>
          <t>Terasse</t>
        </is>
      </c>
      <c r="C245" s="32" t="n">
        <v>0</v>
      </c>
      <c r="D245" s="33" t="n">
        <v>0</v>
      </c>
      <c r="E245" s="13">
        <f>+C245*D245</f>
        <v/>
      </c>
      <c r="F245" s="13">
        <f>+E245*12</f>
        <v/>
      </c>
    </row>
    <row r="246">
      <c r="B246" s="6" t="inlineStr">
        <is>
          <t>Keller</t>
        </is>
      </c>
      <c r="C246" s="32" t="n">
        <v>0</v>
      </c>
      <c r="D246" s="33" t="n">
        <v>0</v>
      </c>
      <c r="E246" s="13">
        <f>+C246*D246</f>
        <v/>
      </c>
      <c r="F246" s="13">
        <f>+E246*12</f>
        <v/>
      </c>
    </row>
    <row r="247">
      <c r="B247" s="6" t="inlineStr">
        <is>
          <t>Sonstiges</t>
        </is>
      </c>
      <c r="C247" s="34" t="n">
        <v>0</v>
      </c>
      <c r="D247" s="33" t="n">
        <v>0</v>
      </c>
      <c r="E247" s="13">
        <f>+C247*D247</f>
        <v/>
      </c>
      <c r="F247" s="13">
        <f>+E247*12</f>
        <v/>
      </c>
    </row>
    <row r="248" ht="8.25" customHeight="1">
      <c r="B248" s="14" t="n"/>
      <c r="C248" s="15" t="n"/>
      <c r="D248" s="16" t="n"/>
      <c r="E248" s="17" t="n"/>
      <c r="F248" s="17" t="n"/>
    </row>
    <row r="249">
      <c r="B249" s="1" t="inlineStr">
        <is>
          <t>Summe</t>
        </is>
      </c>
      <c r="C249" s="18" t="n"/>
      <c r="D249" s="19" t="n"/>
      <c r="E249" s="20">
        <f>+SUM(E242:E248)</f>
        <v/>
      </c>
      <c r="F249" s="20">
        <f>+SUM(F242:F248)</f>
        <v/>
      </c>
    </row>
    <row r="250" ht="6.75" customHeight="1">
      <c r="B250" s="7" t="n"/>
      <c r="C250" s="8" t="n"/>
      <c r="D250" s="7" t="n"/>
      <c r="E250" s="7" t="n"/>
      <c r="F250" s="7" t="n"/>
    </row>
    <row r="251"/>
    <row r="252"/>
    <row r="253">
      <c r="B253" s="23" t="inlineStr">
        <is>
          <t>Capex</t>
        </is>
      </c>
      <c r="C253" s="23" t="inlineStr">
        <is>
          <t>Anmerkungen</t>
        </is>
      </c>
      <c r="D253" s="24" t="n"/>
      <c r="E253" s="24" t="n"/>
      <c r="F253" s="24" t="n"/>
    </row>
    <row r="254">
      <c r="B254" s="35" t="inlineStr">
        <is>
          <t>Möbel Patientenzimmer</t>
        </is>
      </c>
      <c r="C254" s="36" t="inlineStr">
        <is>
          <t>XXX</t>
        </is>
      </c>
      <c r="D254" s="37" t="n"/>
      <c r="E254" s="38" t="n"/>
      <c r="F254" s="33" t="n">
        <v>0</v>
      </c>
      <c r="H254" s="47" t="inlineStr">
        <is>
          <t>Inventar (Einbauküchen, Pflegebetten, Vorhänge) vermieterseitig gestellt und im Mietzins enthalten (§1.2).</t>
        </is>
      </c>
    </row>
    <row r="255">
      <c r="B255" s="35" t="inlineStr">
        <is>
          <t>Gemeinschaftsbereich</t>
        </is>
      </c>
      <c r="C255" s="25" t="inlineStr">
        <is>
          <t>XXX</t>
        </is>
      </c>
      <c r="D255" s="39" t="n"/>
      <c r="E255" s="40" t="n"/>
      <c r="F255" s="33" t="n">
        <v>0</v>
      </c>
    </row>
    <row r="256">
      <c r="B256" s="35" t="inlineStr">
        <is>
          <t>Schwesternrufanlage</t>
        </is>
      </c>
      <c r="C256" s="25" t="inlineStr">
        <is>
          <t>XXX</t>
        </is>
      </c>
      <c r="D256" s="39" t="n"/>
      <c r="E256" s="40" t="n"/>
      <c r="F256" s="33" t="n">
        <v>0</v>
      </c>
    </row>
    <row r="257">
      <c r="B257" s="35" t="inlineStr">
        <is>
          <t>Pflegebad</t>
        </is>
      </c>
      <c r="C257" s="25" t="inlineStr">
        <is>
          <t>XXX</t>
        </is>
      </c>
      <c r="D257" s="39" t="n"/>
      <c r="E257" s="40" t="n"/>
      <c r="F257" s="33" t="n">
        <v>0</v>
      </c>
    </row>
    <row r="258">
      <c r="B258" s="35" t="inlineStr">
        <is>
          <t>Fäkalienspüle</t>
        </is>
      </c>
      <c r="C258" s="25" t="inlineStr">
        <is>
          <t>XXX</t>
        </is>
      </c>
      <c r="D258" s="39" t="n"/>
      <c r="E258" s="40" t="n"/>
      <c r="F258" s="33" t="n">
        <v>0</v>
      </c>
    </row>
    <row r="259">
      <c r="B259" s="35" t="inlineStr">
        <is>
          <t>Umbaukosten</t>
        </is>
      </c>
      <c r="C259" s="25" t="inlineStr">
        <is>
          <t>XXX</t>
        </is>
      </c>
      <c r="D259" s="39" t="n"/>
      <c r="E259" s="40" t="n"/>
      <c r="F259" s="33" t="n">
        <v>0</v>
      </c>
    </row>
    <row r="260">
      <c r="B260" s="35" t="inlineStr">
        <is>
          <t>IT</t>
        </is>
      </c>
      <c r="C260" s="25" t="inlineStr">
        <is>
          <t>XXX</t>
        </is>
      </c>
      <c r="D260" s="39" t="n"/>
      <c r="E260" s="40" t="n"/>
      <c r="F260" s="33" t="n">
        <v>0</v>
      </c>
    </row>
    <row r="261">
      <c r="B261" s="35" t="inlineStr">
        <is>
          <t>Waschmaschinen</t>
        </is>
      </c>
      <c r="C261" s="25" t="inlineStr">
        <is>
          <t>XXX</t>
        </is>
      </c>
      <c r="D261" s="39" t="n"/>
      <c r="E261" s="40" t="n"/>
      <c r="F261" s="33" t="n">
        <v>0</v>
      </c>
    </row>
    <row r="262">
      <c r="B262" s="35" t="inlineStr">
        <is>
          <t>[Platzhalter]</t>
        </is>
      </c>
      <c r="C262" s="25" t="inlineStr">
        <is>
          <t>XXX</t>
        </is>
      </c>
      <c r="D262" s="39" t="n"/>
      <c r="E262" s="40" t="n"/>
      <c r="F262" s="33" t="n">
        <v>0</v>
      </c>
    </row>
    <row r="263">
      <c r="B263" s="35" t="inlineStr">
        <is>
          <t>[Platzhalter]</t>
        </is>
      </c>
      <c r="C263" s="25" t="inlineStr">
        <is>
          <t>XXX</t>
        </is>
      </c>
      <c r="D263" s="39" t="n"/>
      <c r="E263" s="40" t="n"/>
      <c r="F263" s="33" t="n">
        <v>0</v>
      </c>
    </row>
    <row r="264">
      <c r="B264" s="35" t="inlineStr">
        <is>
          <t>[Platzhalter]</t>
        </is>
      </c>
      <c r="C264" s="25" t="inlineStr">
        <is>
          <t>XXX</t>
        </is>
      </c>
      <c r="D264" s="39" t="n"/>
      <c r="E264" s="40" t="n"/>
      <c r="F264" s="33" t="n">
        <v>0</v>
      </c>
    </row>
    <row r="265" ht="8.25" customHeight="1">
      <c r="B265" s="14" t="n"/>
      <c r="C265" s="15" t="n"/>
      <c r="D265" s="16" t="n"/>
      <c r="E265" s="17" t="n"/>
      <c r="F265" s="17" t="n"/>
    </row>
    <row r="266">
      <c r="B266" s="1" t="inlineStr">
        <is>
          <t>Summe</t>
        </is>
      </c>
      <c r="C266" s="18" t="n"/>
      <c r="D266" s="19" t="n"/>
      <c r="E266" s="20" t="n"/>
      <c r="F266" s="20">
        <f>+SUM(F254:F265)</f>
        <v/>
      </c>
    </row>
    <row r="267" ht="6.75" customHeight="1">
      <c r="B267" s="7" t="n"/>
      <c r="C267" s="8" t="n"/>
      <c r="D267" s="7" t="n"/>
      <c r="E267" s="7" t="n"/>
      <c r="F267" s="7" t="n"/>
    </row>
    <row r="268" ht="6.75" customHeight="1"/>
    <row r="269">
      <c r="B269" s="21" t="inlineStr">
        <is>
          <t>davon:</t>
        </is>
      </c>
    </row>
    <row r="270">
      <c r="B270" s="22" t="inlineStr">
        <is>
          <t>Übernahme Vermieter</t>
        </is>
      </c>
      <c r="C270" s="25" t="inlineStr">
        <is>
          <t>XXX</t>
        </is>
      </c>
      <c r="D270" s="39" t="n"/>
      <c r="E270" s="40" t="n"/>
      <c r="F270" s="33" t="n">
        <v>0</v>
      </c>
    </row>
    <row r="271">
      <c r="B271" s="22" t="inlineStr">
        <is>
          <t>Baukostenzuschuss Mieter</t>
        </is>
      </c>
      <c r="C271" s="25" t="inlineStr">
        <is>
          <t>XXX</t>
        </is>
      </c>
      <c r="D271" s="39" t="n"/>
      <c r="E271" s="40" t="n"/>
      <c r="F271" s="33" t="n">
        <v>0</v>
      </c>
    </row>
    <row r="272" ht="6.75" customHeight="1">
      <c r="B272" s="7" t="n"/>
      <c r="C272" s="8" t="n"/>
      <c r="D272" s="7" t="n"/>
      <c r="E272" s="7" t="n"/>
      <c r="F272" s="7" t="n"/>
    </row>
    <row r="273"/>
    <row r="274"/>
    <row r="275">
      <c r="B275" s="23" t="inlineStr">
        <is>
          <t>Ramp-up Kosten</t>
        </is>
      </c>
      <c r="C275" s="23" t="inlineStr">
        <is>
          <t>Anmerkungen</t>
        </is>
      </c>
      <c r="D275" s="24" t="n"/>
      <c r="E275" s="24" t="n"/>
      <c r="F275" s="24" t="n"/>
    </row>
    <row r="276">
      <c r="B276" s="35" t="inlineStr">
        <is>
          <t>Betriebsmittel</t>
        </is>
      </c>
      <c r="C276" s="36" t="inlineStr">
        <is>
          <t>XXX</t>
        </is>
      </c>
      <c r="D276" s="37" t="n"/>
      <c r="E276" s="38" t="n"/>
      <c r="F276" s="33" t="n">
        <v>0</v>
      </c>
    </row>
    <row r="277">
      <c r="B277" s="35" t="inlineStr">
        <is>
          <t>Werbung / Marketing</t>
        </is>
      </c>
      <c r="C277" s="25" t="inlineStr">
        <is>
          <t>XXX</t>
        </is>
      </c>
      <c r="D277" s="39" t="n"/>
      <c r="E277" s="40" t="n"/>
      <c r="F277" s="33" t="n">
        <v>0</v>
      </c>
    </row>
    <row r="278">
      <c r="B278" s="35" t="inlineStr">
        <is>
          <t>Personalbeschaffung</t>
        </is>
      </c>
      <c r="C278" s="25" t="inlineStr">
        <is>
          <t>XXX</t>
        </is>
      </c>
      <c r="D278" s="39" t="n"/>
      <c r="E278" s="40" t="n"/>
      <c r="F278" s="33" t="n">
        <v>0</v>
      </c>
    </row>
    <row r="279">
      <c r="B279" s="35" t="inlineStr">
        <is>
          <t>Planungskosten</t>
        </is>
      </c>
      <c r="C279" s="25" t="inlineStr">
        <is>
          <t>XXX</t>
        </is>
      </c>
      <c r="D279" s="39" t="n"/>
      <c r="E279" s="40" t="n"/>
      <c r="F279" s="33" t="n">
        <v>0</v>
      </c>
    </row>
    <row r="280">
      <c r="B280" s="35" t="inlineStr">
        <is>
          <t>Makler</t>
        </is>
      </c>
      <c r="C280" s="25" t="inlineStr">
        <is>
          <t>XXX</t>
        </is>
      </c>
      <c r="D280" s="39" t="n"/>
      <c r="E280" s="40" t="n"/>
      <c r="F280" s="33" t="n">
        <v>0</v>
      </c>
    </row>
    <row r="281">
      <c r="B281" s="35" t="inlineStr">
        <is>
          <t>[Platzhalter]</t>
        </is>
      </c>
      <c r="C281" s="25" t="inlineStr">
        <is>
          <t>XXX</t>
        </is>
      </c>
      <c r="D281" s="39" t="n"/>
      <c r="E281" s="40" t="n"/>
      <c r="F281" s="33" t="n">
        <v>0</v>
      </c>
    </row>
    <row r="282">
      <c r="B282" s="35" t="inlineStr">
        <is>
          <t>[Platzhalter]</t>
        </is>
      </c>
      <c r="C282" s="25" t="inlineStr">
        <is>
          <t>XXX</t>
        </is>
      </c>
      <c r="D282" s="39" t="n"/>
      <c r="E282" s="40" t="n"/>
      <c r="F282" s="33" t="n">
        <v>0</v>
      </c>
    </row>
    <row r="283">
      <c r="B283" s="35" t="inlineStr">
        <is>
          <t>[Platzhalter]</t>
        </is>
      </c>
      <c r="C283" s="25" t="inlineStr">
        <is>
          <t>XXX</t>
        </is>
      </c>
      <c r="D283" s="39" t="n"/>
      <c r="E283" s="40" t="n"/>
      <c r="F283" s="33" t="n">
        <v>0</v>
      </c>
    </row>
    <row r="284">
      <c r="B284" s="35" t="inlineStr">
        <is>
          <t>[Platzhalter]</t>
        </is>
      </c>
      <c r="C284" s="25" t="inlineStr">
        <is>
          <t>XXX</t>
        </is>
      </c>
      <c r="D284" s="39" t="n"/>
      <c r="E284" s="40" t="n"/>
      <c r="F284" s="33" t="n">
        <v>0</v>
      </c>
    </row>
    <row r="285">
      <c r="B285" s="35" t="inlineStr">
        <is>
          <t>[Platzhalter]</t>
        </is>
      </c>
      <c r="C285" s="25" t="inlineStr">
        <is>
          <t>XXX</t>
        </is>
      </c>
      <c r="D285" s="39" t="n"/>
      <c r="E285" s="40" t="n"/>
      <c r="F285" s="33" t="n">
        <v>0</v>
      </c>
    </row>
    <row r="286" ht="8.25" customHeight="1">
      <c r="B286" s="14" t="n"/>
      <c r="C286" s="15" t="n"/>
      <c r="D286" s="16" t="n"/>
      <c r="E286" s="17" t="n"/>
      <c r="F286" s="17" t="n"/>
    </row>
    <row r="287">
      <c r="B287" s="1" t="inlineStr">
        <is>
          <t>Summe</t>
        </is>
      </c>
      <c r="C287" s="18" t="n"/>
      <c r="D287" s="19" t="n"/>
      <c r="E287" s="20" t="n"/>
      <c r="F287" s="20">
        <f>+SUM(F276:F286)</f>
        <v/>
      </c>
    </row>
    <row r="288" ht="6.75" customHeight="1">
      <c r="B288" s="7" t="n"/>
      <c r="C288" s="8" t="n"/>
      <c r="D288" s="7" t="n"/>
      <c r="E288" s="7" t="n"/>
      <c r="F288" s="7" t="n"/>
    </row>
  </sheetData>
  <mergeCells count="3">
    <mergeCell ref="C22:F22"/>
    <mergeCell ref="C4:F4"/>
    <mergeCell ref="C168:F16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Morscheck, Desiree</dc:creator>
  <dcterms:created xsi:type="dcterms:W3CDTF">2026-03-11T11:03:37Z</dcterms:created>
  <dcterms:modified xsi:type="dcterms:W3CDTF">2026-08-18T09:52:54Z</dcterms:modified>
  <cp:lastModifiedBy>Neal, Jeffrey</cp:lastModifiedBy>
  <cp:lastPrinted>2026-04-29T12:17:51Z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0x010100C03FC3E19674CE4E8117F225B4041376</vt:lpwstr>
  </property>
</Properties>
</file>