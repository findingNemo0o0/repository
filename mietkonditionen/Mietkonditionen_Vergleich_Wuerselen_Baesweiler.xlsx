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Short Version" sheetId="1" state="visible" r:id="rId1"/>
    <sheet name="Long Version – Würselen" sheetId="2" state="visible" r:id="rId2"/>
    <sheet name="Long Version – Baesweiler" sheetId="3" state="visible" r:id="rId3"/>
  </sheets>
  <definedNames>
    <definedName name="_xlnm.Print_Area" localSheetId="0">'Short Version'!$B$2:$F$43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\ &quot;€&quot;"/>
    <numFmt numFmtId="165" formatCode="0&quot;qm&quot;"/>
    <numFmt numFmtId="166" formatCode="#,##0\ &quot;€&quot;;[Red]\-#,##0\ &quot;€&quot;"/>
    <numFmt numFmtId="167" formatCode="#,##0.00\ &quot;€&quot;;[Red]\-#,##0.00\ &quot;€&quot;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rgb="FF0000FF"/>
      <sz val="11"/>
      <scheme val="minor"/>
    </font>
    <font>
      <name val="Aptos Narrow"/>
      <family val="2"/>
      <b val="1"/>
      <color rgb="FF0000FF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sz val="11"/>
      <scheme val="minor"/>
    </font>
    <font>
      <name val="Aptos Narrow"/>
      <i val="1"/>
      <color rgb="FF808080"/>
      <sz val="10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46592608417"/>
      </bottom>
      <diagonal/>
    </border>
    <border>
      <left style="thin">
        <color indexed="64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/>
      <top style="thin">
        <color theme="0" tint="-0.249946592608417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theme="0" tint="-0.249946592608417"/>
      </top>
      <bottom/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3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  <xf numFmtId="164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3" fillId="0" borderId="12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4" applyAlignment="1" pivotButton="0" quotePrefix="0" xfId="0">
      <alignment horizontal="left" vertical="center" indent="1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right" vertical="center"/>
    </xf>
    <xf numFmtId="0" fontId="2" fillId="4" borderId="7" applyAlignment="1" pivotButton="0" quotePrefix="0" xfId="0">
      <alignment vertical="center"/>
    </xf>
    <xf numFmtId="0" fontId="0" fillId="4" borderId="4" applyAlignment="1" pivotButton="0" quotePrefix="0" xfId="0">
      <alignment vertical="center"/>
    </xf>
    <xf numFmtId="0" fontId="2" fillId="4" borderId="7" applyAlignment="1" pivotButton="0" quotePrefix="0" xfId="0">
      <alignment horizontal="left" vertical="center"/>
    </xf>
    <xf numFmtId="165" fontId="2" fillId="4" borderId="7" applyAlignment="1" pivotButton="0" quotePrefix="0" xfId="0">
      <alignment horizontal="left" vertical="center"/>
    </xf>
    <xf numFmtId="14" fontId="2" fillId="4" borderId="7" applyAlignment="1" pivotButton="0" quotePrefix="0" xfId="0">
      <alignment horizontal="left" vertical="center"/>
    </xf>
    <xf numFmtId="165" fontId="2" fillId="4" borderId="9" applyAlignment="1" pivotButton="0" quotePrefix="0" xfId="0">
      <alignment vertical="center"/>
    </xf>
    <xf numFmtId="164" fontId="2" fillId="4" borderId="2" applyAlignment="1" pivotButton="0" quotePrefix="0" xfId="0">
      <alignment vertical="center"/>
    </xf>
    <xf numFmtId="165" fontId="2" fillId="4" borderId="10" applyAlignment="1" pivotButton="0" quotePrefix="0" xfId="0">
      <alignment vertical="center"/>
    </xf>
    <xf numFmtId="164" fontId="2" fillId="4" borderId="3" applyAlignment="1" pivotButton="0" quotePrefix="0" xfId="0">
      <alignment vertical="center"/>
    </xf>
    <xf numFmtId="0" fontId="2" fillId="4" borderId="10" applyAlignment="1" pivotButton="0" quotePrefix="0" xfId="0">
      <alignment vertical="center"/>
    </xf>
    <xf numFmtId="0" fontId="2" fillId="4" borderId="4" applyAlignment="1" pivotButton="0" quotePrefix="0" xfId="0">
      <alignment vertical="center"/>
    </xf>
    <xf numFmtId="0" fontId="2" fillId="4" borderId="6" applyAlignment="1" pivotButton="0" quotePrefix="0" xfId="0">
      <alignment vertical="center"/>
    </xf>
    <xf numFmtId="164" fontId="2" fillId="4" borderId="14" applyAlignment="1" pivotButton="0" quotePrefix="0" xfId="0">
      <alignment vertical="center"/>
    </xf>
    <xf numFmtId="164" fontId="2" fillId="4" borderId="15" applyAlignment="1" pivotButton="0" quotePrefix="0" xfId="0">
      <alignment vertical="center"/>
    </xf>
    <xf numFmtId="164" fontId="2" fillId="4" borderId="16" applyAlignment="1" pivotButton="0" quotePrefix="0" xfId="0">
      <alignment vertical="center"/>
    </xf>
    <xf numFmtId="164" fontId="2" fillId="4" borderId="17" applyAlignment="1" pivotButton="0" quotePrefix="0" xfId="0">
      <alignment vertical="center"/>
    </xf>
    <xf numFmtId="164" fontId="2" fillId="4" borderId="7" applyAlignment="1" pivotButton="0" quotePrefix="0" xfId="0">
      <alignment horizontal="left" vertical="center"/>
    </xf>
    <xf numFmtId="164" fontId="5" fillId="0" borderId="7" applyAlignment="1" pivotButton="0" quotePrefix="0" xfId="0">
      <alignment horizontal="left" vertical="center"/>
    </xf>
    <xf numFmtId="166" fontId="2" fillId="4" borderId="7" applyAlignment="1" pivotButton="0" quotePrefix="0" xfId="0">
      <alignment horizontal="left" vertical="center"/>
    </xf>
    <xf numFmtId="167" fontId="2" fillId="4" borderId="7" applyAlignment="1" pivotButton="0" quotePrefix="0" xfId="0">
      <alignment horizontal="left" vertical="center"/>
    </xf>
    <xf numFmtId="166" fontId="2" fillId="4" borderId="4" applyAlignment="1" pivotButton="0" quotePrefix="0" xfId="0">
      <alignment horizontal="left" vertical="center"/>
    </xf>
    <xf numFmtId="0" fontId="2" fillId="4" borderId="7" applyAlignment="1" pivotButton="0" quotePrefix="0" xfId="0">
      <alignment horizontal="left" vertical="center" wrapText="1"/>
    </xf>
    <xf numFmtId="0" fontId="2" fillId="4" borderId="4" applyAlignment="1" pivotButton="0" quotePrefix="0" xfId="0">
      <alignment horizontal="left" vertical="center" wrapText="1"/>
    </xf>
    <xf numFmtId="0" fontId="6" fillId="0" borderId="0" pivotButton="0" quotePrefix="0" xfId="0"/>
    <xf numFmtId="0" fontId="6" fillId="4" borderId="4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0" fillId="0" borderId="4" pivotButton="0" quotePrefix="0" xfId="0"/>
    <xf numFmtId="167" fontId="2" fillId="4" borderId="7" applyAlignment="1" pivotButton="0" quotePrefix="0" xfId="0">
      <alignment horizontal="left" vertical="center"/>
    </xf>
    <xf numFmtId="166" fontId="2" fillId="4" borderId="7" applyAlignment="1" pivotButton="0" quotePrefix="0" xfId="0">
      <alignment horizontal="left" vertical="center"/>
    </xf>
    <xf numFmtId="166" fontId="2" fillId="4" borderId="4" applyAlignment="1" pivotButton="0" quotePrefix="0" xfId="0">
      <alignment horizontal="left" vertical="center"/>
    </xf>
  </cellXfs>
  <cellStyles count="1">
    <cellStyle name="Standard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42"/>
  <sheetViews>
    <sheetView showGridLines="0" view="pageBreakPreview" zoomScale="124" zoomScaleNormal="104" zoomScaleSheetLayoutView="22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10" defaultRowHeight="15"/>
  <cols>
    <col width="3.85546875" customWidth="1" style="2" min="1" max="1"/>
    <col width="37.85546875" bestFit="1" customWidth="1" style="2" min="2" max="2"/>
    <col width="11.5703125" customWidth="1" style="2" min="3" max="3"/>
    <col width="12.85546875" customWidth="1" style="2" min="4" max="6"/>
    <col width="11.42578125" customWidth="1" style="2" min="7" max="16384"/>
  </cols>
  <sheetData>
    <row r="2">
      <c r="B2" s="1" t="inlineStr">
        <is>
          <t>Übersicht Mietvertragskonditionen</t>
        </is>
      </c>
    </row>
    <row r="4">
      <c r="B4" s="3" t="inlineStr">
        <is>
          <t>Standort:</t>
        </is>
      </c>
      <c r="C4" s="25" t="inlineStr">
        <is>
          <t>Würselen (Target)</t>
        </is>
      </c>
      <c r="D4" s="25" t="inlineStr">
        <is>
          <t>Baesweiler (Bestand)</t>
        </is>
      </c>
      <c r="E4" s="48" t="inlineStr">
        <is>
          <t>Anmerkung / Quelle</t>
        </is>
      </c>
    </row>
    <row r="6">
      <c r="B6" s="4" t="inlineStr">
        <is>
          <t>Eckdaten der Immobilie</t>
        </is>
      </c>
      <c r="C6" s="5" t="n"/>
      <c r="D6" s="5" t="n"/>
      <c r="E6" s="5" t="n"/>
      <c r="F6" s="5" t="n"/>
    </row>
    <row r="7">
      <c r="B7" s="6" t="inlineStr">
        <is>
          <t>Eigentümer</t>
        </is>
      </c>
      <c r="C7" s="25" t="inlineStr">
        <is>
          <t>Beginen Kempe GbR</t>
        </is>
      </c>
      <c r="D7" s="25" t="inlineStr">
        <is>
          <t>Jans &amp; Willems GbR</t>
        </is>
      </c>
      <c r="E7" s="26" t="n"/>
      <c r="F7" s="26" t="n"/>
    </row>
    <row r="8">
      <c r="B8" s="6" t="inlineStr">
        <is>
          <t>Vermieter</t>
        </is>
      </c>
      <c r="C8" s="25" t="inlineStr">
        <is>
          <t>Beginen Kempe GbR</t>
        </is>
      </c>
      <c r="D8" s="25" t="inlineStr">
        <is>
          <t>Jans &amp; Willems GbR</t>
        </is>
      </c>
      <c r="E8" s="49" t="inlineStr">
        <is>
          <t>Würselen: ursprünglich Albert Beginen, Einbringung in die GbR per 1. Nachtrag</t>
        </is>
      </c>
      <c r="F8" s="26" t="n"/>
    </row>
    <row r="9">
      <c r="B9" s="6" t="inlineStr">
        <is>
          <t>Mieter</t>
        </is>
      </c>
      <c r="C9" s="25" t="inlineStr">
        <is>
          <t>AirHome Intensivpflege GmbH</t>
        </is>
      </c>
      <c r="D9" s="25" t="inlineStr">
        <is>
          <t>365° Pflegezentrum Marianne Weiß GmbH</t>
        </is>
      </c>
      <c r="E9" s="49" t="inlineStr">
        <is>
          <t>Baesweiler: opseo-Gruppe (Muttergesellschaft opseo Intensivpflege Holding B.V.)</t>
        </is>
      </c>
      <c r="F9" s="26" t="n"/>
    </row>
    <row r="10">
      <c r="B10" s="6" t="inlineStr">
        <is>
          <t>Cluster</t>
        </is>
      </c>
      <c r="C10" s="25" t="inlineStr">
        <is>
          <t>StädteRegion Aachen</t>
        </is>
      </c>
      <c r="D10" s="25" t="inlineStr">
        <is>
          <t>StädteRegion Aachen</t>
        </is>
      </c>
      <c r="E10" s="49" t="inlineStr">
        <is>
          <t>Cluster-Zuordnung bitte gegen interne Systematik prüfen</t>
        </is>
      </c>
      <c r="F10" s="26" t="n"/>
    </row>
    <row r="11">
      <c r="B11" s="6" t="inlineStr">
        <is>
          <t>Adresse</t>
        </is>
      </c>
      <c r="C11" s="25" t="inlineStr">
        <is>
          <t>Mauerfeldchen 27, 52146 Würselen</t>
        </is>
      </c>
      <c r="D11" s="25" t="inlineStr">
        <is>
          <t>Lessingstr. 3, 52499 Baesweiler</t>
        </is>
      </c>
      <c r="E11" s="26" t="n"/>
      <c r="F11" s="26" t="n"/>
    </row>
    <row r="12">
      <c r="B12" s="6" t="inlineStr">
        <is>
          <t>Expansion oder Replacement?</t>
        </is>
      </c>
      <c r="C12" s="25" t="inlineStr">
        <is>
          <t>XXX</t>
        </is>
      </c>
      <c r="D12" s="25" t="inlineStr">
        <is>
          <t>XXX</t>
        </is>
      </c>
      <c r="E12" s="49" t="inlineStr">
        <is>
          <t>Deal-Kategorie – nicht aus den Mietverträgen ableitbar</t>
        </is>
      </c>
      <c r="F12" s="26" t="n"/>
    </row>
    <row r="13">
      <c r="B13" s="6" t="inlineStr">
        <is>
          <t>Neubau oder Bestand? Baujahr?</t>
        </is>
      </c>
      <c r="C13" s="25" t="inlineStr">
        <is>
          <t>Bestand</t>
        </is>
      </c>
      <c r="D13" s="25" t="inlineStr">
        <is>
          <t>Bestand</t>
        </is>
      </c>
      <c r="E13" s="49" t="inlineStr">
        <is>
          <t>Würselen: Umbau/Erweiterung eines bestehenden Wohnheims (Werkplanung 2019). Baujahr in keinem Vertrag genannt.</t>
        </is>
      </c>
      <c r="F13" s="26" t="n"/>
    </row>
    <row r="14">
      <c r="B14" s="6" t="inlineStr">
        <is>
          <t>Lage der Mietfläche (z.B. EG, 1. OG)</t>
        </is>
      </c>
      <c r="C14" s="25" t="inlineStr">
        <is>
          <t>1., 2. und 3. OG; 59 qm im 1./4. OG; Keller</t>
        </is>
      </c>
      <c r="D14" s="25" t="inlineStr">
        <is>
          <t>EG/OG; Abstellräume im KG</t>
        </is>
      </c>
      <c r="E14" s="49" t="inlineStr">
        <is>
          <t>Baesweiler: Etagenaufteilung im Vertrag nicht spezifiziert</t>
        </is>
      </c>
      <c r="F14" s="26" t="n"/>
    </row>
    <row r="15">
      <c r="B15" s="6" t="inlineStr">
        <is>
          <t>Kapazität (Anzahl Betten)</t>
        </is>
      </c>
      <c r="C15" s="25" t="inlineStr">
        <is>
          <t>XXX</t>
        </is>
      </c>
      <c r="D15" s="25" t="n">
        <v>18</v>
      </c>
      <c r="E15" s="49" t="inlineStr">
        <is>
          <t>Würselen: Bettenzahl in keinem der 4 Dokumente genannt – vom Target anzufordern. Baesweiler: ca. 18 Patientenzimmer (§1.1); die NK-Kalkulation (250 €/Platz = 4.700 €) impliziert jedoch 18,8 Plätze.</t>
        </is>
      </c>
      <c r="F15" s="26" t="n"/>
    </row>
    <row r="16">
      <c r="B16" s="6" t="inlineStr">
        <is>
          <t>Beschreibung der Nutzung</t>
        </is>
      </c>
      <c r="C16" s="25" t="inlineStr">
        <is>
          <t>Wohnheim mit Intensivpflege</t>
        </is>
      </c>
      <c r="D16" s="25" t="inlineStr">
        <is>
          <t>Intensivpflege-Wohngemeinschaft</t>
        </is>
      </c>
      <c r="E16" s="26" t="n"/>
      <c r="F16" s="26" t="n"/>
    </row>
    <row r="17">
      <c r="B17" s="6" t="inlineStr">
        <is>
          <t>Bürofläche enthalten?</t>
        </is>
      </c>
      <c r="C17" s="25" t="inlineStr">
        <is>
          <t>Ja (Praxis- und Nebenflächen)</t>
        </is>
      </c>
      <c r="D17" s="25" t="inlineStr">
        <is>
          <t>Ja (Büro-, Aufenthalts- und Schulungsraum)</t>
        </is>
      </c>
      <c r="E17" s="26" t="n"/>
      <c r="F17" s="26" t="n"/>
    </row>
    <row r="18">
      <c r="B18" s="6" t="n"/>
      <c r="C18" s="6" t="n"/>
      <c r="D18" s="6" t="n"/>
      <c r="E18" s="6" t="n"/>
      <c r="F18" s="6" t="n"/>
    </row>
    <row r="19">
      <c r="B19" s="4" t="inlineStr">
        <is>
          <t>Miete und weitere Kosten</t>
        </is>
      </c>
      <c r="C19" s="5" t="n"/>
      <c r="D19" s="5" t="n"/>
      <c r="E19" s="5" t="n"/>
      <c r="F19" s="5" t="n"/>
    </row>
    <row r="20">
      <c r="B20" s="6" t="inlineStr">
        <is>
          <t>Größe der Fläche (in qm)</t>
        </is>
      </c>
      <c r="C20" s="28" t="n">
        <v>1104.6</v>
      </c>
      <c r="D20" s="28" t="n">
        <v>1082</v>
      </c>
      <c r="E20" s="49" t="inlineStr">
        <is>
          <t>Würselen exakt 1.104,60 qm (695,28 qm 2./3. OG + 59,00 qm 1./4. OG + 350,32 qm 1. OG); Keller 88,65 qm zusätzlich unter "Weitere Kosten". Baesweiler ca. 1.082 qm (§1.1).</t>
        </is>
      </c>
      <c r="F20" s="26" t="n"/>
    </row>
    <row r="21">
      <c r="B21" s="6" t="inlineStr">
        <is>
          <t>Nettokaltmiete/qm</t>
        </is>
      </c>
      <c r="C21" s="41" t="n">
        <v>12.5</v>
      </c>
      <c r="D21" s="41">
        <f>+D22/D20</f>
        <v/>
      </c>
      <c r="E21" s="49" t="inlineStr">
        <is>
          <t>Baesweiler ist eine Pauschalmiete (8.500 €); der qm-Preis ist rechnerisch abgeleitet, nicht vertraglich vereinbart.</t>
        </is>
      </c>
      <c r="F21" s="26" t="n"/>
    </row>
    <row r="22">
      <c r="B22" s="22" t="inlineStr">
        <is>
          <t>Nettokaltmiete pro Monat</t>
        </is>
      </c>
      <c r="C22" s="42">
        <f>+C21*C20</f>
        <v/>
      </c>
      <c r="D22" s="42" t="n">
        <v>8500</v>
      </c>
      <c r="E22" s="6" t="n"/>
      <c r="F22" s="6" t="n"/>
    </row>
    <row r="23">
      <c r="B23" s="22" t="inlineStr">
        <is>
          <t>Nettokaltmiete pro Jahr</t>
        </is>
      </c>
      <c r="C23" s="42">
        <f>+C22*12</f>
        <v/>
      </c>
      <c r="D23" s="42">
        <f>+D22*12</f>
        <v/>
      </c>
      <c r="E23" s="6" t="n"/>
      <c r="F23" s="6" t="n"/>
    </row>
    <row r="24">
      <c r="B24" s="6" t="inlineStr">
        <is>
          <t>Nebenkosten/qm</t>
        </is>
      </c>
      <c r="C24" s="41" t="n">
        <v>3.5</v>
      </c>
      <c r="D24" s="41">
        <f>+D25/D20</f>
        <v/>
      </c>
      <c r="E24" s="26" t="n"/>
      <c r="F24" s="26" t="n"/>
    </row>
    <row r="25">
      <c r="B25" s="22" t="inlineStr">
        <is>
          <t>Nebenkosten pro Monat</t>
        </is>
      </c>
      <c r="C25" s="42">
        <f>+C24*C20</f>
        <v/>
      </c>
      <c r="D25" s="42" t="n">
        <v>4700</v>
      </c>
      <c r="E25" s="50" t="inlineStr">
        <is>
          <t>Würselen 3.866,10 € rechnerisch; die Verträge weisen 3.866,12 € aus (Rundung der NK-Basis 754,28 qm auf 2.640,00 €). Baesweiler 250 €/Pflegeplatz, vertraglich mit 4.700 € beziffert (§4.2).</t>
        </is>
      </c>
      <c r="F25" s="6" t="n"/>
    </row>
    <row r="26">
      <c r="B26" s="22" t="inlineStr">
        <is>
          <t>Nebenkosten pro Jahr</t>
        </is>
      </c>
      <c r="C26" s="42">
        <f>+C25*12</f>
        <v/>
      </c>
      <c r="D26" s="42">
        <f>+D25*12</f>
        <v/>
      </c>
      <c r="E26" s="6" t="n"/>
      <c r="F26" s="6" t="n"/>
    </row>
    <row r="27">
      <c r="B27" s="6" t="inlineStr">
        <is>
          <t>Anzahl Stellplätze</t>
        </is>
      </c>
      <c r="C27" s="27" t="n">
        <v>14</v>
      </c>
      <c r="D27" s="27" t="n">
        <v>0</v>
      </c>
      <c r="E27" s="49" t="inlineStr">
        <is>
          <t>Würselen: 11 Außenstellplätze (6 à 30 €, 5 à 60 €) + 3 TG-Stellplätze à 60 € = 660 €/Monat; C28 ist der Mischpreis. Baesweiler: Stellplätze im Vertrag nicht geregelt.</t>
        </is>
      </c>
      <c r="F27" s="26" t="n"/>
    </row>
    <row r="28">
      <c r="B28" s="6" t="inlineStr">
        <is>
          <t>Preis pro Stellplatz</t>
        </is>
      </c>
      <c r="C28" s="41" t="n">
        <v>47.14285714285715</v>
      </c>
      <c r="D28" s="41" t="n">
        <v>0</v>
      </c>
      <c r="E28" s="26" t="n"/>
      <c r="F28" s="26" t="n"/>
    </row>
    <row r="29">
      <c r="B29" s="22" t="inlineStr">
        <is>
          <t>Kosten Stellplätze pro Monat</t>
        </is>
      </c>
      <c r="C29" s="42">
        <f>+C27*C28</f>
        <v/>
      </c>
      <c r="D29" s="42">
        <f>+D27*D28</f>
        <v/>
      </c>
      <c r="E29" s="6" t="n"/>
      <c r="F29" s="6" t="n"/>
    </row>
    <row r="30">
      <c r="B30" s="22" t="inlineStr">
        <is>
          <t>Kosten Stellplätze pro Jahr</t>
        </is>
      </c>
      <c r="C30" s="42">
        <f>+C29*12</f>
        <v/>
      </c>
      <c r="D30" s="42">
        <f>+D29*12</f>
        <v/>
      </c>
      <c r="E30" s="6" t="n"/>
      <c r="F30" s="6" t="n"/>
    </row>
    <row r="31">
      <c r="B31" s="6" t="inlineStr">
        <is>
          <t>Weitere Kosten (Terasse, Verwaltung etc.)</t>
        </is>
      </c>
      <c r="C31" s="25" t="inlineStr">
        <is>
          <t>Keller 88,65 qm à 5,00 € = 443,25 €/Mon.; statische Mehraufwendungen 1. OG 600,00 €/Mon.</t>
        </is>
      </c>
      <c r="D31" s="25" t="inlineStr">
        <is>
          <t>Strom über eigenen Liefervertrag; Abnahmepflicht PV-Strom; Inventar im Mietzins enthalten</t>
        </is>
      </c>
      <c r="E31" s="26" t="n"/>
      <c r="F31" s="26" t="n"/>
    </row>
    <row r="32">
      <c r="B32" s="6" t="inlineStr">
        <is>
          <t>Baukostenzuschuss in €</t>
        </is>
      </c>
      <c r="C32" s="41" t="n">
        <v>0</v>
      </c>
      <c r="D32" s="41" t="n">
        <v>0</v>
      </c>
      <c r="E32" s="26" t="n"/>
      <c r="F32" s="26" t="n"/>
    </row>
    <row r="33">
      <c r="B33" s="6" t="inlineStr">
        <is>
          <t>Erläuterung Baukostenzuschuss</t>
        </is>
      </c>
      <c r="C33" s="25" t="inlineStr">
        <is>
          <t>Kein BKZ; Ausbau durch Vermieter gem. Raumbuch (Anlage 1.4), betriebsspezifische Ausstattung durch Mieter</t>
        </is>
      </c>
      <c r="D33" s="25" t="inlineStr">
        <is>
          <t>Kein BKZ; Inventar (Einbauküchen, Pflegebetten, Vorhänge) vermieterseitig gestellt (§1.2)</t>
        </is>
      </c>
      <c r="E33" s="26" t="n"/>
      <c r="F33" s="26" t="n"/>
    </row>
    <row r="34">
      <c r="B34" s="6" t="inlineStr">
        <is>
          <t>Capex</t>
        </is>
      </c>
      <c r="C34" s="41" t="n">
        <v>0</v>
      </c>
      <c r="D34" s="41" t="n">
        <v>0</v>
      </c>
      <c r="E34" s="49" t="inlineStr">
        <is>
          <t>Capex nicht aus Mietverträgen ableitbar – aus Target-Unterlagen zu ergänzen. Baesweiler tendenziell reduziert, da Inventar vermieterseitig gestellt.</t>
        </is>
      </c>
      <c r="F34" s="26" t="n"/>
    </row>
    <row r="35">
      <c r="B35" s="6" t="n"/>
      <c r="C35" s="6" t="n"/>
      <c r="D35" s="6" t="n"/>
      <c r="E35" s="6" t="n"/>
      <c r="F35" s="6" t="n"/>
    </row>
    <row r="36">
      <c r="B36" s="4" t="inlineStr">
        <is>
          <t>Laufzeit etc.</t>
        </is>
      </c>
      <c r="C36" s="5" t="n"/>
      <c r="D36" s="5" t="n"/>
      <c r="E36" s="5" t="n"/>
      <c r="F36" s="5" t="n"/>
    </row>
    <row r="37">
      <c r="B37" s="6" t="inlineStr">
        <is>
          <t>Geplanter Mietbeginn</t>
        </is>
      </c>
      <c r="C37" s="29" t="n">
        <v>44301</v>
      </c>
      <c r="D37" s="29" t="inlineStr">
        <is>
          <t>XXX</t>
        </is>
      </c>
      <c r="E37" s="49" t="inlineStr">
        <is>
          <t>Würselen: Übergabe 2./3. OG am 15.04.2021, Laufzeitbeginn 01.05.2021 (§5.2); Keller + 2 SP 15.04.2022; 1. OG + 3 SP 15.10.2023. Baesweiler: Monatserster nach Vollzug des Kaufvertrags Kuijpers v. 17.03.2023 (§2.1) – Vollzugsdatum zu bestätigen.</t>
        </is>
      </c>
      <c r="F37" s="26" t="n"/>
    </row>
    <row r="38">
      <c r="B38" s="6" t="inlineStr">
        <is>
          <t>Festlaufzeit</t>
        </is>
      </c>
      <c r="C38" s="25" t="inlineStr">
        <is>
          <t>10 Jahre (bis 30.04.2031)</t>
        </is>
      </c>
      <c r="D38" s="25" t="inlineStr">
        <is>
          <t>5 Jahre Kündigungsausschluss / Miete 10 Jahre fest</t>
        </is>
      </c>
      <c r="E38" s="49" t="inlineStr">
        <is>
          <t>Baesweiler: Widerspruch im Vertrag – §2.2 schließt die Kündigung für die ersten 5 Mietjahre aus, räumt das Optionsrecht aber erst "nach Ablauf der ersten zehn Mietjahre" ein; §4.1 fixiert die Miete für 10 Jahre. Klärungsbedarf.</t>
        </is>
      </c>
      <c r="F38" s="26" t="n"/>
    </row>
    <row r="39">
      <c r="B39" s="6" t="inlineStr">
        <is>
          <t>Verlängerungsoptionen</t>
        </is>
      </c>
      <c r="C39" s="25" t="inlineStr">
        <is>
          <t>2x 5 Jahre (automatisch, Kündigung 12 Mon. vorher)</t>
        </is>
      </c>
      <c r="D39" s="25" t="inlineStr">
        <is>
          <t>2x 5 Jahre (Ausübung 6 Mon. vorher)</t>
        </is>
      </c>
      <c r="E39" s="26" t="n"/>
      <c r="F39" s="26" t="n"/>
    </row>
    <row r="40">
      <c r="B40" s="6" t="inlineStr">
        <is>
          <t>Wertsicherung (VPI/Staffelmiete etc.)</t>
        </is>
      </c>
      <c r="C40" s="25" t="inlineStr">
        <is>
          <t>VPI (Basis 2010=100), Schwelle &gt;5 %, 100 % Weitergabe, erstmals ab 15.04.2025, keine Senkung</t>
        </is>
      </c>
      <c r="D40" s="25" t="inlineStr">
        <is>
          <t>Keine – Miete für 10 Jahre fest (§4.1)</t>
        </is>
      </c>
      <c r="E40" s="26" t="n"/>
      <c r="F40" s="26" t="n"/>
    </row>
    <row r="41">
      <c r="B41" s="6" t="inlineStr">
        <is>
          <t>Mietsicherheit</t>
        </is>
      </c>
      <c r="C41" s="25" t="inlineStr">
        <is>
          <t>3 Bruttomonatsmieten = 58.130,61 €; Bankbürgschaft</t>
        </is>
      </c>
      <c r="D41" s="25" t="inlineStr">
        <is>
          <t>Patronatserklärung opseo Holding B.V., 1 Jahreskaltmiete = 102.000 €</t>
        </is>
      </c>
      <c r="E41" s="49" t="inlineStr">
        <is>
          <t>Würselen: nach 5 Jahren störungsfreier Mietzeit Reduzierung um eine Gesamtzahlung möglich (1. Nachtrag).</t>
        </is>
      </c>
      <c r="F41" s="26" t="n"/>
    </row>
    <row r="42" ht="6.75" customHeight="1" thickBot="1">
      <c r="B42" s="7" t="n"/>
      <c r="C42" s="8" t="n"/>
      <c r="D42" s="7" t="n"/>
      <c r="E42" s="7" t="n"/>
      <c r="F42" s="7" t="n"/>
    </row>
  </sheetData>
  <pageMargins left="0.5118110236220472" right="0.5118110236220472" top="0.7874015748031497" bottom="0.7874015748031497" header="0.3149606299212598" footer="0.3149606299212598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42"/>
  <sheetViews>
    <sheetView showGridLines="0" workbookViewId="0">
      <selection activeCell="A1" sqref="A1"/>
    </sheetView>
  </sheetViews>
  <sheetFormatPr baseColWidth="10" defaultRowHeight="15"/>
  <cols>
    <col width="3.85546875" customWidth="1" style="2" min="1" max="1"/>
    <col width="44.28515625" customWidth="1" style="2" min="2" max="2"/>
    <col width="35" customWidth="1" style="2" min="3" max="3"/>
    <col width="12.85546875" customWidth="1" style="2" min="4" max="6"/>
    <col width="11.42578125" customWidth="1" style="2" min="7" max="16384"/>
  </cols>
  <sheetData>
    <row r="2">
      <c r="B2" s="1" t="inlineStr">
        <is>
          <t>Übersicht Mietvertragskonditionen</t>
        </is>
      </c>
    </row>
    <row r="4">
      <c r="B4" s="3" t="inlineStr">
        <is>
          <t>Standort:</t>
        </is>
      </c>
      <c r="C4" t="inlineStr">
        <is>
          <t>Würselen (Target)</t>
        </is>
      </c>
    </row>
    <row r="6">
      <c r="B6" s="4" t="inlineStr">
        <is>
          <t>Eckdaten</t>
        </is>
      </c>
      <c r="C6" s="5" t="n"/>
      <c r="D6" s="5" t="n"/>
      <c r="E6" s="5" t="n"/>
      <c r="F6" s="5" t="n"/>
    </row>
    <row r="7">
      <c r="B7" s="6" t="inlineStr">
        <is>
          <t>Eigentümer</t>
        </is>
      </c>
      <c r="C7" s="25" t="inlineStr">
        <is>
          <t>Beginen Kempe GbR</t>
        </is>
      </c>
      <c r="D7" s="26" t="n"/>
      <c r="E7" s="26" t="n"/>
      <c r="F7" s="26" t="n"/>
    </row>
    <row r="8">
      <c r="B8" s="6" t="inlineStr">
        <is>
          <t>Vermieter</t>
        </is>
      </c>
      <c r="C8" s="25" t="inlineStr">
        <is>
          <t>Beginen Kempe GbR, Raderstr. 2a, 52134 Herzogenrath (vormals Albert Beginen; Einbringung per 1. Nachtrag)</t>
        </is>
      </c>
      <c r="D8" s="26" t="n"/>
      <c r="E8" s="26" t="n"/>
      <c r="F8" s="26" t="n"/>
    </row>
    <row r="9">
      <c r="B9" s="6" t="inlineStr">
        <is>
          <t>Mieter</t>
        </is>
      </c>
      <c r="C9" s="25" t="inlineStr">
        <is>
          <t>AirHome Intensivpflege GmbH, HRB 18522 AG Aachen</t>
        </is>
      </c>
      <c r="D9" s="26" t="n"/>
      <c r="E9" s="26" t="n"/>
      <c r="F9" s="26" t="n"/>
    </row>
    <row r="10">
      <c r="B10" s="6" t="inlineStr">
        <is>
          <t>Adresse</t>
        </is>
      </c>
      <c r="C10" s="25" t="inlineStr">
        <is>
          <t>Mauerfeldchen 27, 52146 Würselen</t>
        </is>
      </c>
      <c r="D10" s="26" t="n"/>
      <c r="E10" s="26" t="n"/>
      <c r="F10" s="26" t="n"/>
    </row>
    <row r="11">
      <c r="B11" s="6" t="inlineStr">
        <is>
          <t>Baujahr der Immobilie</t>
        </is>
      </c>
      <c r="C11" s="25" t="inlineStr">
        <is>
          <t>XXX – Baujahr in keinem der vier Dokumente genannt; Bestandsgebäude, Fassadensanierung/Umbau/Erweiterung (Werkplanung 2019)</t>
        </is>
      </c>
      <c r="D11" s="26" t="n"/>
      <c r="E11" s="26" t="n"/>
      <c r="F11" s="26" t="n"/>
    </row>
    <row r="12">
      <c r="B12" s="6" t="inlineStr">
        <is>
          <t>Mietzweck</t>
        </is>
      </c>
      <c r="C12" s="25" t="inlineStr">
        <is>
          <t>Wohnheim mit Intensivpflege (§6.1); Untervermietung an Patienten ausdrücklich vom Mietzweck umfasst</t>
        </is>
      </c>
      <c r="D12" s="26" t="n"/>
      <c r="E12" s="26" t="n"/>
      <c r="F12" s="26" t="n"/>
    </row>
    <row r="13">
      <c r="B13" s="6" t="inlineStr">
        <is>
          <t>Festlaufzeit</t>
        </is>
      </c>
      <c r="C13" s="25" t="inlineStr">
        <is>
          <t>10 Jahre ab Übergabe 15.04.2021, Fristbeginn 01.05.2021 (§5.2) – Ende 30.04.2031</t>
        </is>
      </c>
      <c r="D13" s="26" t="n"/>
      <c r="E13" s="26" t="n"/>
      <c r="F13" s="26" t="n"/>
    </row>
    <row r="14">
      <c r="B14" s="6" t="inlineStr">
        <is>
          <t>Verlängerungsoptionen</t>
        </is>
      </c>
      <c r="C14" s="25" t="inlineStr">
        <is>
          <t>2x 5 Jahre; Verlängerung tritt automatisch ein, sofern der Mieter nicht 12 Monate vor Ablauf kündigt (§5.3)</t>
        </is>
      </c>
      <c r="D14" s="26" t="n"/>
      <c r="E14" s="26" t="n"/>
      <c r="F14" s="26" t="n"/>
    </row>
    <row r="15">
      <c r="B15" s="6" t="inlineStr">
        <is>
          <t>Mietbeginn</t>
        </is>
      </c>
      <c r="C15" s="25" t="inlineStr">
        <is>
          <t>Übergabe 15.04.2021 (2./3. OG); Keller Nr. 09 + 2 Stellplätze 15.04.2022; 1. OG + 3 Stellplätze 15.10.2023</t>
        </is>
      </c>
      <c r="D15" s="26" t="n"/>
      <c r="E15" s="26" t="n"/>
      <c r="F15" s="26" t="n"/>
    </row>
    <row r="16">
      <c r="B16" s="6" t="inlineStr">
        <is>
          <t>Übergabezeitpunkt</t>
        </is>
      </c>
      <c r="C16" s="25" t="inlineStr">
        <is>
          <t>Schadensersatz bei Verzug max. 200 €/Kalendertag, gedeckelt auf 3 Nettomonatsmieten (§3.5); außerordentliche Kündigung bei Verzug &gt;3 Monate nach Nachfrist (§3.6)</t>
        </is>
      </c>
      <c r="D16" s="26" t="n"/>
      <c r="E16" s="26" t="n"/>
      <c r="F16" s="26" t="n"/>
    </row>
    <row r="17">
      <c r="B17" s="6" t="inlineStr">
        <is>
          <t>Aufschiebende Bedingung / Rücktrittsrecht</t>
        </is>
      </c>
      <c r="C17" s="25" t="inlineStr">
        <is>
          <t>Keine aufschiebende Bedingung; Rücktritts-/Kündigungsrecht nur bei Übergabeverzug &gt;3 Monate (§3.6) – durch erfolgte Übergabe gegenstandslos</t>
        </is>
      </c>
      <c r="D17" s="26" t="n"/>
      <c r="E17" s="26" t="n"/>
      <c r="F17" s="26" t="n"/>
    </row>
    <row r="18">
      <c r="B18" s="6" t="inlineStr">
        <is>
          <t>Mietfreie Zeit</t>
        </is>
      </c>
      <c r="C18" s="25" t="inlineStr">
        <is>
          <t>Keine mietfreie Zeit; stattdessen Mietreduzierung auf 11,50 €/qm (statt 12,50 €) in den ersten beiden Mietjahren (§7.2) – ausgelaufen</t>
        </is>
      </c>
      <c r="D18" s="26" t="n"/>
      <c r="E18" s="26" t="n"/>
      <c r="F18" s="26" t="n"/>
    </row>
    <row r="19">
      <c r="B19" s="6" t="inlineStr">
        <is>
          <t>Wertsicherung (VPI)</t>
        </is>
      </c>
      <c r="C19" s="25" t="inlineStr">
        <is>
          <t>VPI Deutschland, Basis 2010 = 100; bei Veränderung &gt;5 % Anpassung im vollen prozentualen Verhältnis (100 % Weitergabe); erstmals nach Ablauf des 4. Mietjahres, also ab 15.04.2025; Anpassung nach unten ausgeschlossen (§10, 3. Nachtrag Ziff. 10)</t>
        </is>
      </c>
      <c r="D19" s="26" t="n"/>
      <c r="E19" s="26" t="n"/>
      <c r="F19" s="26" t="n"/>
    </row>
    <row r="20">
      <c r="B20" s="6" t="inlineStr">
        <is>
          <t>Rückbauverpflichtung Mieter</t>
        </is>
      </c>
      <c r="C20" s="25" t="inlineStr">
        <is>
          <t>Ja – Entfernung eingebrachter Einrichtungen, Rückbau aller Ein-/Umbauten und Wiederherstellung des ursprünglichen Zustands (§18.1); Trockenbauwände und Zusatzanschlüsse müssen nicht entfernt werden (§2.3.4)</t>
        </is>
      </c>
      <c r="D20" s="26" t="n"/>
      <c r="E20" s="26" t="n"/>
      <c r="F20" s="26" t="n"/>
    </row>
    <row r="21">
      <c r="B21" s="6" t="inlineStr">
        <is>
          <t>Untervermietung</t>
        </is>
      </c>
      <c r="C21" s="25" t="inlineStr">
        <is>
          <t>Ja – generell gestattet im Rahmen des Mietzwecks, ausdrücklich einschließlich Untervermietung an Patienten (§17.1); zusätzlich Recht zur Ersatzmietergestellung (§17.2)</t>
        </is>
      </c>
      <c r="D21" s="26" t="n"/>
      <c r="E21" s="26" t="n"/>
      <c r="F21" s="26" t="n"/>
    </row>
    <row r="22" ht="65.25" customHeight="1">
      <c r="B22" s="6" t="inlineStr">
        <is>
          <t>Mietsicherheit</t>
        </is>
      </c>
      <c r="C22" s="46" t="inlineStr">
        <is>
          <t>3 monatliche Gesamtzahlungen (Miete inkl. NK-Vorauszahlung) = 58.130,61 €; selbstschuldnerische, unbefristete, unwiderrufliche Bankbürgschaft (§14.3); nach 5 Jahren störungsfreier Mietzeit Reduzierung um eine Gesamtzahlung (1. Nachtrag)</t>
        </is>
      </c>
      <c r="D22" s="51" t="n"/>
      <c r="E22" s="51" t="n"/>
      <c r="F22" s="51" t="n"/>
    </row>
    <row r="23">
      <c r="B23" s="6" t="inlineStr">
        <is>
          <t>Konkurrenzschutz</t>
        </is>
      </c>
      <c r="C23" s="25" t="inlineStr">
        <is>
          <t>Eingeschränkt – gewährt nur für den Betrieb eines Wohnheims mit Intensivpflege (§6.3), ausdrücklich nicht für andere medizinische Intensivpflege jedweder Ausrichtung (§6.4). Praktische Schutzwirkung fraglich.</t>
        </is>
      </c>
      <c r="D23" s="26" t="n"/>
      <c r="E23" s="26" t="n"/>
      <c r="F23" s="26" t="n"/>
    </row>
    <row r="24">
      <c r="B24" s="6" t="inlineStr">
        <is>
          <t>Sonderkündigungsrecht</t>
        </is>
      </c>
      <c r="C24" s="25" t="inlineStr">
        <is>
          <t>Keines – ordentliche Kündigung während Festlaufzeit und Verlängerungszeiträumen ausgeschlossen (§5.4)</t>
        </is>
      </c>
      <c r="D24" s="26" t="n"/>
      <c r="E24" s="26" t="n"/>
      <c r="F24" s="26" t="n"/>
    </row>
    <row r="25">
      <c r="B25" s="6" t="inlineStr">
        <is>
          <t>Instandhaltung/Instandsetzung</t>
        </is>
      </c>
      <c r="C25" s="25" t="inlineStr">
        <is>
          <t>Dach und Fach beim Vermieter; Mietfläche beim Mieter. Kleinreparaturen bis 300 €/Fall, p.a. gedeckelt auf eine Nettomonatsmiete (§12.8). Umlage der Instandhaltung gemeinschaftlicher Flächen auf 5 % der Jahresnettokaltmiete begrenzt (§11.3). Schönheitsreparaturen beim Mieter (§12.2).</t>
        </is>
      </c>
      <c r="D25" s="26" t="n"/>
      <c r="E25" s="26" t="n"/>
      <c r="F25" s="26" t="n"/>
    </row>
    <row r="26">
      <c r="B26" s="6" t="inlineStr">
        <is>
          <t>Besonderheiten / Sonstiges</t>
        </is>
      </c>
      <c r="C26" s="25" t="inlineStr">
        <is>
          <t>Vertragsstand = Hauptvertrag 05.02.2018 + 3 Nachträge. Umsatzsteuerfreie Vermietung, keine Option nach §4 Nr. 12a UStG (§9); Nebenkosten zzgl. USt. Anmietrecht für später frei werdende Flächen im Gebäude (§1.2). Reinigungspflicht Treppenhaus/Aufzug 2x wöchentlich (§12.1).</t>
        </is>
      </c>
      <c r="D26" s="26" t="n"/>
      <c r="E26" s="26" t="n"/>
      <c r="F26" s="26" t="n"/>
    </row>
    <row r="27" ht="6.75" customHeight="1" thickBot="1">
      <c r="B27" s="7" t="n"/>
      <c r="C27" s="8" t="n"/>
      <c r="D27" s="7" t="n"/>
      <c r="E27" s="7" t="n"/>
      <c r="F27" s="7" t="n"/>
    </row>
    <row r="29">
      <c r="B29" s="9" t="inlineStr">
        <is>
          <t>Benchmarks (Neubau)</t>
        </is>
      </c>
      <c r="C29" s="9" t="n"/>
      <c r="D29" s="9" t="n"/>
      <c r="E29" s="9" t="n"/>
      <c r="F29" s="9" t="n"/>
    </row>
    <row r="30">
      <c r="B30" s="6" t="inlineStr">
        <is>
          <t>Miete/m² (Neubau) - kein BKZ</t>
        </is>
      </c>
      <c r="C30" s="52" t="n">
        <v>20</v>
      </c>
      <c r="D30" s="26" t="n"/>
      <c r="E30" s="26" t="n"/>
      <c r="F30" s="26" t="n"/>
    </row>
    <row r="31">
      <c r="B31" s="6" t="inlineStr">
        <is>
          <t>Miete/m² inkl. BKZ</t>
        </is>
      </c>
      <c r="C31" s="52" t="n">
        <v>20</v>
      </c>
      <c r="D31" s="26" t="n"/>
      <c r="E31" s="26" t="n"/>
      <c r="F31" s="26" t="n"/>
    </row>
    <row r="32">
      <c r="B32" s="6" t="inlineStr">
        <is>
          <t>Nebenkosten/m²</t>
        </is>
      </c>
      <c r="C32" s="52" t="n">
        <v>3</v>
      </c>
      <c r="D32" s="26" t="n"/>
      <c r="E32" s="26" t="n"/>
      <c r="F32" s="26" t="n"/>
    </row>
    <row r="33">
      <c r="B33" s="6" t="inlineStr">
        <is>
          <t>Fläche pro Bett</t>
        </is>
      </c>
      <c r="C33" s="53" t="inlineStr">
        <is>
          <t>50m²</t>
        </is>
      </c>
      <c r="D33" s="54" t="inlineStr">
        <is>
          <t xml:space="preserve"> (d.h. 6er WG: 300m²; 12er WG: 600m²)</t>
        </is>
      </c>
      <c r="E33" s="26" t="n"/>
      <c r="F33" s="26" t="n"/>
    </row>
    <row r="34">
      <c r="B34" s="6" t="inlineStr">
        <is>
          <t>Miete pro Bett pro Monat (exkl. Baukostenzuschuss)</t>
        </is>
      </c>
      <c r="C34" s="53" t="n">
        <v>1000</v>
      </c>
      <c r="D34" s="26" t="n"/>
      <c r="E34" s="26" t="n"/>
      <c r="F34" s="26" t="n"/>
    </row>
    <row r="35">
      <c r="B35" s="6" t="inlineStr">
        <is>
          <t>Miete pro Bett pro Monat (inkl. BKZ über 10 Jahre)</t>
        </is>
      </c>
      <c r="C35" s="53">
        <f>+C34</f>
        <v/>
      </c>
      <c r="D35" s="26" t="n"/>
      <c r="E35" s="26" t="n"/>
      <c r="F35" s="26" t="n"/>
    </row>
    <row r="36">
      <c r="B36" s="6" t="inlineStr">
        <is>
          <t>Baukostenzuschuss pro Bett</t>
        </is>
      </c>
      <c r="C36" s="53" t="n">
        <v>0</v>
      </c>
      <c r="D36" s="54" t="n"/>
      <c r="E36" s="26" t="n"/>
      <c r="F36" s="26" t="n"/>
    </row>
    <row r="37">
      <c r="B37" s="6" t="inlineStr">
        <is>
          <t>Capex pro Bett (Möbel, Ausstattung, etc.)</t>
        </is>
      </c>
      <c r="C37" s="53" t="n">
        <v>30000</v>
      </c>
      <c r="D37" s="26" t="n"/>
      <c r="E37" s="26" t="n"/>
      <c r="F37" s="26" t="n"/>
    </row>
    <row r="38">
      <c r="B38" s="6" t="inlineStr">
        <is>
          <t>Baukosten pro qm (Neubau)</t>
        </is>
      </c>
      <c r="C38" s="25" t="inlineStr">
        <is>
          <t>TBD</t>
        </is>
      </c>
      <c r="D38" s="26" t="n"/>
      <c r="E38" s="26" t="n"/>
      <c r="F38" s="26" t="n"/>
    </row>
    <row r="40">
      <c r="B40" s="9" t="inlineStr">
        <is>
          <t>Benchmarks (Bestand)</t>
        </is>
      </c>
      <c r="C40" s="9" t="n"/>
      <c r="D40" s="9" t="n"/>
      <c r="E40" s="9" t="n"/>
      <c r="F40" s="9" t="n"/>
    </row>
    <row r="41">
      <c r="B41" s="6" t="inlineStr">
        <is>
          <t>Miete/m² (Bestand) - kein BKZ</t>
        </is>
      </c>
      <c r="C41" s="52" t="n">
        <v>20</v>
      </c>
      <c r="D41" s="26" t="n"/>
      <c r="E41" s="26" t="n"/>
      <c r="F41" s="26" t="n"/>
    </row>
    <row r="42">
      <c r="B42" s="6" t="inlineStr">
        <is>
          <t>Miete/m² (Bestand) inkl. BKZ</t>
        </is>
      </c>
      <c r="C42" s="52" t="n">
        <v>25</v>
      </c>
      <c r="D42" s="26" t="n"/>
      <c r="E42" s="26" t="n"/>
      <c r="F42" s="26" t="n"/>
    </row>
    <row r="43">
      <c r="B43" s="6" t="inlineStr">
        <is>
          <t>Nebenkosten/m²</t>
        </is>
      </c>
      <c r="C43" s="52" t="n">
        <v>3</v>
      </c>
      <c r="D43" s="26" t="n"/>
      <c r="E43" s="26" t="n"/>
      <c r="F43" s="26" t="n"/>
    </row>
    <row r="44">
      <c r="B44" s="6" t="inlineStr">
        <is>
          <t>Fläche pro Bett</t>
        </is>
      </c>
      <c r="C44" s="53" t="inlineStr">
        <is>
          <t>50m²</t>
        </is>
      </c>
      <c r="D44" s="54" t="inlineStr">
        <is>
          <t xml:space="preserve"> (d.h. 6er WG: 300m²; 12er WG: 600m²)</t>
        </is>
      </c>
      <c r="E44" s="26" t="n"/>
      <c r="F44" s="26" t="n"/>
    </row>
    <row r="45">
      <c r="B45" s="6" t="inlineStr">
        <is>
          <t>Miete pro Bett pro Monat (exkl. Baukostenzuschuss)</t>
        </is>
      </c>
      <c r="C45" s="53" t="n">
        <v>1000</v>
      </c>
      <c r="D45" s="26" t="n"/>
      <c r="E45" s="26" t="n"/>
      <c r="F45" s="26" t="n"/>
    </row>
    <row r="46">
      <c r="B46" s="6" t="inlineStr">
        <is>
          <t>Miete pro Bett pro Monat (inkl. BKZ über 10 Jahre)</t>
        </is>
      </c>
      <c r="C46" s="53" t="n">
        <v>1250</v>
      </c>
      <c r="D46" s="26" t="n"/>
      <c r="E46" s="26" t="n"/>
      <c r="F46" s="26" t="n"/>
    </row>
    <row r="47">
      <c r="B47" s="6" t="inlineStr">
        <is>
          <t>Baukostenzuschuss pro Bett</t>
        </is>
      </c>
      <c r="C47" s="53" t="n">
        <v>40000</v>
      </c>
      <c r="D47" s="54" t="inlineStr">
        <is>
          <t>(d.h. 6er WG: 180.000 €, 12er WG: 360.000 €)</t>
        </is>
      </c>
      <c r="E47" s="26" t="n"/>
      <c r="F47" s="26" t="n"/>
    </row>
    <row r="48">
      <c r="B48" s="6" t="inlineStr">
        <is>
          <t>Capex pro Bett (Möbel, Ausstattung, etc.)</t>
        </is>
      </c>
      <c r="C48" s="53" t="n">
        <v>30000</v>
      </c>
      <c r="D48" s="26" t="n"/>
      <c r="E48" s="26" t="n"/>
      <c r="F48" s="26" t="n"/>
    </row>
    <row r="49">
      <c r="B49" s="6" t="inlineStr">
        <is>
          <t>Baukosten pro qm (Neubau)</t>
        </is>
      </c>
      <c r="C49" s="27" t="n">
        <v>0</v>
      </c>
      <c r="D49" s="26" t="n"/>
      <c r="E49" s="26" t="n"/>
      <c r="F49" s="26" t="n"/>
    </row>
    <row r="51">
      <c r="B51" s="9" t="inlineStr">
        <is>
          <t>Mietkosten</t>
        </is>
      </c>
      <c r="C51" s="9" t="n"/>
      <c r="D51" s="9" t="n"/>
      <c r="E51" s="9" t="n"/>
      <c r="F51" s="9" t="n"/>
    </row>
    <row r="52">
      <c r="B52" s="10" t="inlineStr">
        <is>
          <t>Einheit 1</t>
        </is>
      </c>
      <c r="C52" s="10" t="n"/>
      <c r="D52" s="10" t="n"/>
      <c r="E52" s="10" t="n"/>
      <c r="F52" s="10" t="n"/>
    </row>
    <row r="53">
      <c r="B53" s="6" t="inlineStr">
        <is>
          <t>Art (z.B. WG, Büro, etc.)</t>
        </is>
      </c>
      <c r="C53" s="27" t="inlineStr">
        <is>
          <t>WG</t>
        </is>
      </c>
      <c r="D53" s="26" t="n"/>
      <c r="E53" s="26" t="n"/>
      <c r="F53" s="26" t="n"/>
    </row>
    <row r="54">
      <c r="B54" s="6" t="inlineStr">
        <is>
          <t>Lage der Mietfläche (z.B. EG, 1. OG)</t>
        </is>
      </c>
      <c r="C54" s="27" t="inlineStr">
        <is>
          <t>2. und 3. OG</t>
        </is>
      </c>
      <c r="D54" s="26" t="n"/>
      <c r="E54" s="26" t="n"/>
      <c r="F54" s="26" t="n"/>
    </row>
    <row r="55">
      <c r="B55" s="6" t="inlineStr">
        <is>
          <t>Kapazität (Anzahl Betten)</t>
        </is>
      </c>
      <c r="C55" s="27" t="inlineStr">
        <is>
          <t>XXX – Bettenzahl im Vertrag nicht genannt</t>
        </is>
      </c>
      <c r="D55" s="26" t="n"/>
      <c r="E55" s="26" t="n"/>
      <c r="F55" s="26" t="n"/>
    </row>
    <row r="56">
      <c r="B56" s="6" t="inlineStr">
        <is>
          <t>Größe der Fläche (in qm)</t>
        </is>
      </c>
      <c r="C56" s="28" t="n">
        <v>695.28</v>
      </c>
      <c r="D56" s="26" t="n"/>
      <c r="E56" s="26" t="n"/>
      <c r="F56" s="26" t="n"/>
    </row>
    <row r="57">
      <c r="B57" s="6" t="inlineStr">
        <is>
          <t>Mietbeginn (falls abweichned)</t>
        </is>
      </c>
      <c r="C57" s="29" t="n">
        <v>44301</v>
      </c>
      <c r="D57" s="26" t="n"/>
      <c r="E57" s="26" t="n"/>
      <c r="F57" s="26" t="n"/>
    </row>
    <row r="59">
      <c r="B59" s="11" t="inlineStr">
        <is>
          <t>Kosten Einheit 1</t>
        </is>
      </c>
      <c r="C59" s="12" t="inlineStr">
        <is>
          <t>Anzahl</t>
        </is>
      </c>
      <c r="D59" s="12" t="inlineStr">
        <is>
          <t>€ pro Einheit</t>
        </is>
      </c>
      <c r="E59" s="12" t="inlineStr">
        <is>
          <t>€ pro Monat</t>
        </is>
      </c>
      <c r="F59" s="12" t="inlineStr">
        <is>
          <t>€ pro Jahr</t>
        </is>
      </c>
    </row>
    <row r="60">
      <c r="B60" s="2" t="inlineStr">
        <is>
          <t>Nettokaltmiete</t>
        </is>
      </c>
      <c r="C60" s="30" t="n">
        <v>695.28</v>
      </c>
      <c r="D60" s="31" t="n">
        <v>12.5</v>
      </c>
      <c r="E60" s="13">
        <f>+C60*D60</f>
        <v/>
      </c>
      <c r="F60" s="13">
        <f>+E60*12</f>
        <v/>
      </c>
    </row>
    <row r="61">
      <c r="B61" s="6" t="inlineStr">
        <is>
          <t>Nebenkostenpauschale</t>
        </is>
      </c>
      <c r="C61" s="32">
        <f>+C60</f>
        <v/>
      </c>
      <c r="D61" s="33" t="n">
        <v>3.5</v>
      </c>
      <c r="E61" s="13">
        <f>+C61*D61</f>
        <v/>
      </c>
      <c r="F61" s="13">
        <f>+E61*12</f>
        <v/>
      </c>
    </row>
    <row r="62">
      <c r="B62" s="6" t="inlineStr">
        <is>
          <t>Stellplätze</t>
        </is>
      </c>
      <c r="C62" s="34" t="n">
        <v>11</v>
      </c>
      <c r="D62" s="33" t="n">
        <v>43.63636363636363</v>
      </c>
      <c r="E62" s="13">
        <f>+C62*D62</f>
        <v/>
      </c>
      <c r="F62" s="13">
        <f>+E62*12</f>
        <v/>
      </c>
    </row>
    <row r="63">
      <c r="B63" s="6" t="inlineStr">
        <is>
          <t>Terasse</t>
        </is>
      </c>
      <c r="C63" s="32" t="n">
        <v>0</v>
      </c>
      <c r="D63" s="33" t="n">
        <v>0</v>
      </c>
      <c r="E63" s="13">
        <f>+C63*D63</f>
        <v/>
      </c>
      <c r="F63" s="13">
        <f>+E63*12</f>
        <v/>
      </c>
    </row>
    <row r="64">
      <c r="B64" s="6" t="inlineStr">
        <is>
          <t>Keller</t>
        </is>
      </c>
      <c r="C64" s="32" t="n">
        <v>18.65</v>
      </c>
      <c r="D64" s="33" t="n">
        <v>5</v>
      </c>
      <c r="E64" s="13">
        <f>+C64*D64</f>
        <v/>
      </c>
      <c r="F64" s="13">
        <f>+E64*12</f>
        <v/>
      </c>
    </row>
    <row r="65">
      <c r="B65" s="6" t="inlineStr">
        <is>
          <t>Sonstiges</t>
        </is>
      </c>
      <c r="C65" s="34" t="n">
        <v>0</v>
      </c>
      <c r="D65" s="33" t="n">
        <v>0</v>
      </c>
      <c r="E65" s="13">
        <f>+C65*D65</f>
        <v/>
      </c>
      <c r="F65" s="13">
        <f>+E65*12</f>
        <v/>
      </c>
    </row>
    <row r="66" ht="8.25" customHeight="1">
      <c r="B66" s="14" t="n"/>
      <c r="C66" s="15" t="n"/>
      <c r="D66" s="16" t="n"/>
      <c r="E66" s="17" t="n"/>
      <c r="F66" s="17" t="n"/>
    </row>
    <row r="67" customFormat="1" s="1">
      <c r="B67" s="1" t="inlineStr">
        <is>
          <t>Summe</t>
        </is>
      </c>
      <c r="C67" s="18" t="n"/>
      <c r="D67" s="19" t="n"/>
      <c r="E67" s="20">
        <f>+SUM(E60:E66)</f>
        <v/>
      </c>
      <c r="F67" s="20">
        <f>+SUM(F60:F66)</f>
        <v/>
      </c>
    </row>
    <row r="68" ht="6.75" customHeight="1" thickBot="1">
      <c r="B68" s="7" t="n"/>
      <c r="C68" s="8" t="n"/>
      <c r="D68" s="7" t="n"/>
      <c r="E68" s="7" t="n"/>
      <c r="F68" s="7" t="n"/>
    </row>
    <row r="70">
      <c r="B70" s="10" t="inlineStr">
        <is>
          <t>Einheit 2</t>
        </is>
      </c>
      <c r="C70" s="10" t="n"/>
      <c r="D70" s="10" t="n"/>
      <c r="E70" s="10" t="n"/>
      <c r="F70" s="10" t="n"/>
    </row>
    <row r="71">
      <c r="B71" s="6" t="inlineStr">
        <is>
          <t>Art (z.B. WG, Büro, etc.)</t>
        </is>
      </c>
      <c r="C71" s="27" t="inlineStr">
        <is>
          <t>WG</t>
        </is>
      </c>
      <c r="D71" s="26" t="n"/>
      <c r="E71" s="26" t="n"/>
      <c r="F71" s="26" t="n"/>
    </row>
    <row r="72">
      <c r="B72" s="6" t="inlineStr">
        <is>
          <t>Lage der Mietfläche (z.B. EG, 1. OG)</t>
        </is>
      </c>
      <c r="C72" s="27" t="inlineStr">
        <is>
          <t>1. OG (komplett)</t>
        </is>
      </c>
      <c r="D72" s="26" t="n"/>
      <c r="E72" s="26" t="n"/>
      <c r="F72" s="26" t="n"/>
    </row>
    <row r="73">
      <c r="B73" s="6" t="inlineStr">
        <is>
          <t>Kapazität (Anzahl Betten)</t>
        </is>
      </c>
      <c r="C73" s="27" t="inlineStr">
        <is>
          <t>XXX – Skizze Anlage N 3-1 sieht 5 Bewohner-Apartments vor</t>
        </is>
      </c>
      <c r="D73" s="26" t="n"/>
      <c r="E73" s="26" t="n"/>
      <c r="F73" s="26" t="n"/>
    </row>
    <row r="74">
      <c r="B74" s="6" t="inlineStr">
        <is>
          <t>Größe der Fläche (in qm)</t>
        </is>
      </c>
      <c r="C74" s="28" t="n">
        <v>350.32</v>
      </c>
      <c r="D74" s="26" t="n"/>
      <c r="E74" s="26" t="n"/>
      <c r="F74" s="26" t="n"/>
    </row>
    <row r="75">
      <c r="B75" s="6" t="inlineStr">
        <is>
          <t>Mietbeginn (falls abweichned)</t>
        </is>
      </c>
      <c r="C75" s="29" t="n">
        <v>45214</v>
      </c>
      <c r="D75" s="26" t="n"/>
      <c r="E75" s="26" t="n"/>
      <c r="F75" s="26" t="n"/>
    </row>
    <row r="77">
      <c r="B77" s="11" t="inlineStr">
        <is>
          <t>Kosten Einheit 2</t>
        </is>
      </c>
      <c r="C77" s="12" t="inlineStr">
        <is>
          <t>Anzahl</t>
        </is>
      </c>
      <c r="D77" s="12" t="inlineStr">
        <is>
          <t>€ pro Einheit</t>
        </is>
      </c>
      <c r="E77" s="12" t="inlineStr">
        <is>
          <t>€ pro Monat</t>
        </is>
      </c>
      <c r="F77" s="12" t="inlineStr">
        <is>
          <t>€ pro Jahr</t>
        </is>
      </c>
    </row>
    <row r="78">
      <c r="B78" s="2" t="inlineStr">
        <is>
          <t>Nettokaltmiete</t>
        </is>
      </c>
      <c r="C78" s="30" t="n">
        <v>350.32</v>
      </c>
      <c r="D78" s="31" t="n">
        <v>12.5</v>
      </c>
      <c r="E78" s="13">
        <f>+C78*D78</f>
        <v/>
      </c>
      <c r="F78" s="13">
        <f>+E78*12</f>
        <v/>
      </c>
    </row>
    <row r="79">
      <c r="B79" s="6" t="inlineStr">
        <is>
          <t>Nebenkostenpauschale</t>
        </is>
      </c>
      <c r="C79" s="32">
        <f>+C78</f>
        <v/>
      </c>
      <c r="D79" s="33" t="n">
        <v>3.5</v>
      </c>
      <c r="E79" s="13">
        <f>+C79*D79</f>
        <v/>
      </c>
      <c r="F79" s="13">
        <f>+E79*12</f>
        <v/>
      </c>
    </row>
    <row r="80">
      <c r="B80" s="6" t="inlineStr">
        <is>
          <t>Stellplätze</t>
        </is>
      </c>
      <c r="C80" s="34" t="n">
        <v>3</v>
      </c>
      <c r="D80" s="33" t="n">
        <v>60</v>
      </c>
      <c r="E80" s="13">
        <f>+C80*D80</f>
        <v/>
      </c>
      <c r="F80" s="13">
        <f>+E80*12</f>
        <v/>
      </c>
    </row>
    <row r="81">
      <c r="B81" s="6" t="inlineStr">
        <is>
          <t>Terasse</t>
        </is>
      </c>
      <c r="C81" s="32" t="n">
        <v>0</v>
      </c>
      <c r="D81" s="33" t="n">
        <v>0</v>
      </c>
      <c r="E81" s="13">
        <f>+C81*D81</f>
        <v/>
      </c>
      <c r="F81" s="13">
        <f>+E81*12</f>
        <v/>
      </c>
    </row>
    <row r="82">
      <c r="B82" s="6" t="inlineStr">
        <is>
          <t>Keller</t>
        </is>
      </c>
      <c r="C82" s="32" t="n">
        <v>70</v>
      </c>
      <c r="D82" s="33" t="n">
        <v>5</v>
      </c>
      <c r="E82" s="13">
        <f>+C82*D82</f>
        <v/>
      </c>
      <c r="F82" s="13">
        <f>+E82*12</f>
        <v/>
      </c>
    </row>
    <row r="83">
      <c r="B83" s="6" t="inlineStr">
        <is>
          <t>Sonstiges</t>
        </is>
      </c>
      <c r="C83" s="34" t="n">
        <v>1</v>
      </c>
      <c r="D83" s="33" t="n">
        <v>600</v>
      </c>
      <c r="E83" s="13">
        <f>+C83*D83</f>
        <v/>
      </c>
      <c r="F83" s="13">
        <f>+E83*12</f>
        <v/>
      </c>
    </row>
    <row r="84" ht="8.25" customHeight="1">
      <c r="B84" s="14" t="n"/>
      <c r="C84" s="15" t="n"/>
      <c r="D84" s="16" t="n"/>
      <c r="E84" s="17" t="n"/>
      <c r="F84" s="17" t="n"/>
    </row>
    <row r="85" customFormat="1" s="1">
      <c r="B85" s="1" t="inlineStr">
        <is>
          <t>Summe</t>
        </is>
      </c>
      <c r="C85" s="18" t="n"/>
      <c r="D85" s="19" t="n"/>
      <c r="E85" s="20">
        <f>+SUM(E78:E84)</f>
        <v/>
      </c>
      <c r="F85" s="20">
        <f>+SUM(F78:F84)</f>
        <v/>
      </c>
    </row>
    <row r="86" ht="6.75" customHeight="1" thickBot="1">
      <c r="B86" s="7" t="n"/>
      <c r="C86" s="8" t="n"/>
      <c r="D86" s="7" t="n"/>
      <c r="E86" s="7" t="n"/>
      <c r="F86" s="7" t="n"/>
    </row>
    <row r="88">
      <c r="B88" s="10" t="inlineStr">
        <is>
          <t>Einheit 3</t>
        </is>
      </c>
      <c r="C88" s="10" t="n"/>
      <c r="D88" s="10" t="n"/>
      <c r="E88" s="10" t="n"/>
      <c r="F88" s="10" t="n"/>
    </row>
    <row r="89">
      <c r="B89" s="6" t="inlineStr">
        <is>
          <t>Art (z.B. WG, Büro, etc.)</t>
        </is>
      </c>
      <c r="C89" s="27" t="inlineStr">
        <is>
          <t>WG / Nebenfläche</t>
        </is>
      </c>
      <c r="D89" s="26" t="n"/>
      <c r="E89" s="26" t="n"/>
      <c r="F89" s="26" t="n"/>
    </row>
    <row r="90">
      <c r="B90" s="6" t="inlineStr">
        <is>
          <t>Lage der Mietfläche (z.B. EG, 1. OG)</t>
        </is>
      </c>
      <c r="C90" s="27" t="inlineStr">
        <is>
          <t>1. oder 4. OG</t>
        </is>
      </c>
      <c r="D90" s="26" t="n"/>
      <c r="E90" s="26" t="n"/>
      <c r="F90" s="26" t="n"/>
    </row>
    <row r="91">
      <c r="B91" s="6" t="inlineStr">
        <is>
          <t>Kapazität (Anzahl Betten)</t>
        </is>
      </c>
      <c r="C91" s="27" t="n">
        <v>0</v>
      </c>
      <c r="D91" s="26" t="n"/>
      <c r="E91" s="26" t="n"/>
      <c r="F91" s="26" t="n"/>
    </row>
    <row r="92">
      <c r="B92" s="6" t="inlineStr">
        <is>
          <t>Größe der Fläche (in qm)</t>
        </is>
      </c>
      <c r="C92" s="28" t="n">
        <v>59</v>
      </c>
      <c r="D92" s="26" t="n"/>
      <c r="E92" s="26" t="n"/>
      <c r="F92" s="26" t="n"/>
    </row>
    <row r="93">
      <c r="B93" s="6" t="inlineStr">
        <is>
          <t>Mietbeginn (falls abweichned)</t>
        </is>
      </c>
      <c r="C93" s="29" t="n">
        <v>44301</v>
      </c>
      <c r="D93" s="26" t="n"/>
      <c r="E93" s="26" t="n"/>
      <c r="F93" s="26" t="n"/>
    </row>
    <row r="95">
      <c r="B95" s="11" t="inlineStr">
        <is>
          <t>Kosten Einheit 3</t>
        </is>
      </c>
      <c r="C95" s="12" t="inlineStr">
        <is>
          <t>Anzahl</t>
        </is>
      </c>
      <c r="D95" s="12" t="inlineStr">
        <is>
          <t>€ pro Einheit</t>
        </is>
      </c>
      <c r="E95" s="12" t="inlineStr">
        <is>
          <t>€ pro Monat</t>
        </is>
      </c>
      <c r="F95" s="12" t="inlineStr">
        <is>
          <t>€ pro Jahr</t>
        </is>
      </c>
    </row>
    <row r="96">
      <c r="B96" s="2" t="inlineStr">
        <is>
          <t>Nettokaltmiete</t>
        </is>
      </c>
      <c r="C96" s="30" t="n">
        <v>59</v>
      </c>
      <c r="D96" s="31" t="n">
        <v>12.5</v>
      </c>
      <c r="E96" s="13">
        <f>+C96*D96</f>
        <v/>
      </c>
      <c r="F96" s="13">
        <f>+E96*12</f>
        <v/>
      </c>
    </row>
    <row r="97">
      <c r="B97" s="6" t="inlineStr">
        <is>
          <t>Nebenkostenpauschale</t>
        </is>
      </c>
      <c r="C97" s="32">
        <f>+C96</f>
        <v/>
      </c>
      <c r="D97" s="33" t="n">
        <v>3.5</v>
      </c>
      <c r="E97" s="13">
        <f>+C97*D97</f>
        <v/>
      </c>
      <c r="F97" s="13">
        <f>+E97*12</f>
        <v/>
      </c>
    </row>
    <row r="98">
      <c r="B98" s="6" t="inlineStr">
        <is>
          <t>Stellplätze</t>
        </is>
      </c>
      <c r="C98" s="34" t="n">
        <v>0</v>
      </c>
      <c r="D98" s="33" t="n">
        <v>0</v>
      </c>
      <c r="E98" s="13">
        <f>+C98*D98</f>
        <v/>
      </c>
      <c r="F98" s="13">
        <f>+E98*12</f>
        <v/>
      </c>
    </row>
    <row r="99">
      <c r="B99" s="6" t="inlineStr">
        <is>
          <t>Terasse</t>
        </is>
      </c>
      <c r="C99" s="32" t="n">
        <v>0</v>
      </c>
      <c r="D99" s="33" t="n">
        <v>0</v>
      </c>
      <c r="E99" s="13">
        <f>+C99*D99</f>
        <v/>
      </c>
      <c r="F99" s="13">
        <f>+E99*12</f>
        <v/>
      </c>
    </row>
    <row r="100">
      <c r="B100" s="6" t="inlineStr">
        <is>
          <t>Keller</t>
        </is>
      </c>
      <c r="C100" s="32" t="n">
        <v>0</v>
      </c>
      <c r="D100" s="33" t="n">
        <v>0</v>
      </c>
      <c r="E100" s="13">
        <f>+C100*D100</f>
        <v/>
      </c>
      <c r="F100" s="13">
        <f>+E100*12</f>
        <v/>
      </c>
    </row>
    <row r="101">
      <c r="B101" s="6" t="inlineStr">
        <is>
          <t>Sonstiges</t>
        </is>
      </c>
      <c r="C101" s="34" t="n">
        <v>0</v>
      </c>
      <c r="D101" s="33" t="n">
        <v>0</v>
      </c>
      <c r="E101" s="13">
        <f>+C101*D101</f>
        <v/>
      </c>
      <c r="F101" s="13">
        <f>+E101*12</f>
        <v/>
      </c>
    </row>
    <row r="102" ht="8.25" customHeight="1">
      <c r="B102" s="14" t="n"/>
      <c r="C102" s="15" t="n"/>
      <c r="D102" s="16" t="n"/>
      <c r="E102" s="17" t="n"/>
      <c r="F102" s="17" t="n"/>
    </row>
    <row r="103" customFormat="1" s="1">
      <c r="B103" s="1" t="inlineStr">
        <is>
          <t>Summe</t>
        </is>
      </c>
      <c r="C103" s="18" t="n"/>
      <c r="D103" s="19" t="n"/>
      <c r="E103" s="20">
        <f>+SUM(E96:E102)</f>
        <v/>
      </c>
      <c r="F103" s="20">
        <f>+SUM(F96:F102)</f>
        <v/>
      </c>
    </row>
    <row r="104" ht="6.75" customHeight="1" thickBot="1">
      <c r="B104" s="7" t="n"/>
      <c r="C104" s="8" t="n"/>
      <c r="D104" s="7" t="n"/>
      <c r="E104" s="7" t="n"/>
      <c r="F104" s="7" t="n"/>
    </row>
    <row r="107">
      <c r="B107" s="23" t="inlineStr">
        <is>
          <t>Capex</t>
        </is>
      </c>
      <c r="C107" s="23" t="inlineStr">
        <is>
          <t>Anmerkungen</t>
        </is>
      </c>
      <c r="D107" s="24" t="n"/>
      <c r="E107" s="24" t="n"/>
      <c r="F107" s="24" t="n"/>
    </row>
    <row r="108">
      <c r="B108" s="35" t="inlineStr">
        <is>
          <t>Möbel Patientenzimmer</t>
        </is>
      </c>
      <c r="C108" s="36" t="inlineStr">
        <is>
          <t>XXX – nicht aus dem Mietvertrag ableitbar, aus Target-Unterlagen zu ergänzen</t>
        </is>
      </c>
      <c r="D108" s="37" t="n"/>
      <c r="E108" s="38" t="n"/>
      <c r="F108" s="33" t="n">
        <v>0</v>
      </c>
    </row>
    <row r="109">
      <c r="B109" s="35" t="inlineStr">
        <is>
          <t>Gemeinschaftsbereich</t>
        </is>
      </c>
      <c r="C109" s="25" t="inlineStr">
        <is>
          <t>XXX</t>
        </is>
      </c>
      <c r="D109" s="39" t="n"/>
      <c r="E109" s="40" t="n"/>
      <c r="F109" s="33" t="n">
        <v>0</v>
      </c>
    </row>
    <row r="110">
      <c r="B110" s="35" t="inlineStr">
        <is>
          <t>Schwesternrufanlage</t>
        </is>
      </c>
      <c r="C110" s="25" t="inlineStr">
        <is>
          <t>XXX</t>
        </is>
      </c>
      <c r="D110" s="39" t="n"/>
      <c r="E110" s="40" t="n"/>
      <c r="F110" s="33" t="n">
        <v>0</v>
      </c>
    </row>
    <row r="111">
      <c r="B111" s="35" t="inlineStr">
        <is>
          <t>Pflegebad</t>
        </is>
      </c>
      <c r="C111" s="25" t="inlineStr">
        <is>
          <t>XXX</t>
        </is>
      </c>
      <c r="D111" s="39" t="n"/>
      <c r="E111" s="40" t="n"/>
      <c r="F111" s="33" t="n">
        <v>0</v>
      </c>
    </row>
    <row r="112">
      <c r="B112" s="35" t="inlineStr">
        <is>
          <t>Fäkalienspüle</t>
        </is>
      </c>
      <c r="C112" s="25" t="inlineStr">
        <is>
          <t>XXX</t>
        </is>
      </c>
      <c r="D112" s="39" t="n"/>
      <c r="E112" s="40" t="n"/>
      <c r="F112" s="33" t="n">
        <v>0</v>
      </c>
    </row>
    <row r="113">
      <c r="B113" s="35" t="inlineStr">
        <is>
          <t>Umbaukosten</t>
        </is>
      </c>
      <c r="C113" s="25" t="inlineStr">
        <is>
          <t>XXX</t>
        </is>
      </c>
      <c r="D113" s="39" t="n"/>
      <c r="E113" s="40" t="n"/>
      <c r="F113" s="33" t="n">
        <v>0</v>
      </c>
    </row>
    <row r="114">
      <c r="B114" s="35" t="inlineStr">
        <is>
          <t>IT</t>
        </is>
      </c>
      <c r="C114" s="25" t="inlineStr">
        <is>
          <t>XXX</t>
        </is>
      </c>
      <c r="D114" s="39" t="n"/>
      <c r="E114" s="40" t="n"/>
      <c r="F114" s="33" t="n">
        <v>0</v>
      </c>
    </row>
    <row r="115">
      <c r="B115" s="35" t="inlineStr">
        <is>
          <t>Waschmaschinen</t>
        </is>
      </c>
      <c r="C115" s="25" t="inlineStr">
        <is>
          <t>XXX</t>
        </is>
      </c>
      <c r="D115" s="39" t="n"/>
      <c r="E115" s="40" t="n"/>
      <c r="F115" s="33" t="n">
        <v>0</v>
      </c>
    </row>
    <row r="116">
      <c r="B116" s="35" t="inlineStr">
        <is>
          <t>[Platzhalter]</t>
        </is>
      </c>
      <c r="C116" s="25" t="inlineStr">
        <is>
          <t>XXX</t>
        </is>
      </c>
      <c r="D116" s="39" t="n"/>
      <c r="E116" s="40" t="n"/>
      <c r="F116" s="33" t="n">
        <v>0</v>
      </c>
    </row>
    <row r="117">
      <c r="B117" s="35" t="inlineStr">
        <is>
          <t>[Platzhalter]</t>
        </is>
      </c>
      <c r="C117" s="25" t="inlineStr">
        <is>
          <t>XXX</t>
        </is>
      </c>
      <c r="D117" s="39" t="n"/>
      <c r="E117" s="40" t="n"/>
      <c r="F117" s="33" t="n">
        <v>0</v>
      </c>
    </row>
    <row r="118">
      <c r="B118" s="35" t="inlineStr">
        <is>
          <t>[Platzhalter]</t>
        </is>
      </c>
      <c r="C118" s="25" t="inlineStr">
        <is>
          <t>XXX</t>
        </is>
      </c>
      <c r="D118" s="39" t="n"/>
      <c r="E118" s="40" t="n"/>
      <c r="F118" s="33" t="n">
        <v>0</v>
      </c>
    </row>
    <row r="119" ht="8.25" customHeight="1">
      <c r="B119" s="14" t="n"/>
      <c r="C119" s="15" t="n"/>
      <c r="D119" s="16" t="n"/>
      <c r="E119" s="17" t="n"/>
      <c r="F119" s="17" t="n"/>
    </row>
    <row r="120" customFormat="1" s="1">
      <c r="B120" s="1" t="inlineStr">
        <is>
          <t>Summe</t>
        </is>
      </c>
      <c r="C120" s="18" t="n"/>
      <c r="D120" s="19" t="n"/>
      <c r="E120" s="20" t="n"/>
      <c r="F120" s="20">
        <f>+SUM(F108:F119)</f>
        <v/>
      </c>
    </row>
    <row r="121" ht="6.75" customHeight="1" thickBot="1">
      <c r="B121" s="7" t="n"/>
      <c r="C121" s="8" t="n"/>
      <c r="D121" s="7" t="n"/>
      <c r="E121" s="7" t="n"/>
      <c r="F121" s="7" t="n"/>
    </row>
    <row r="122" ht="6.75" customHeight="1"/>
    <row r="123">
      <c r="B123" s="21" t="inlineStr">
        <is>
          <t>davon:</t>
        </is>
      </c>
    </row>
    <row r="124">
      <c r="B124" s="22" t="inlineStr">
        <is>
          <t>Übernahme Vermieter</t>
        </is>
      </c>
      <c r="C124" s="25" t="inlineStr">
        <is>
          <t>XXX</t>
        </is>
      </c>
      <c r="D124" s="39" t="n"/>
      <c r="E124" s="40" t="n"/>
      <c r="F124" s="33" t="n">
        <v>0</v>
      </c>
    </row>
    <row r="125">
      <c r="B125" s="22" t="inlineStr">
        <is>
          <t>Baukostenzuschuss Mieter</t>
        </is>
      </c>
      <c r="C125" s="25" t="inlineStr">
        <is>
          <t>XXX</t>
        </is>
      </c>
      <c r="D125" s="39" t="n"/>
      <c r="E125" s="40" t="n"/>
      <c r="F125" s="33" t="n">
        <v>0</v>
      </c>
    </row>
    <row r="126" ht="6.75" customHeight="1" thickBot="1">
      <c r="B126" s="7" t="n"/>
      <c r="C126" s="8" t="n"/>
      <c r="D126" s="7" t="n"/>
      <c r="E126" s="7" t="n"/>
      <c r="F126" s="7" t="n"/>
    </row>
    <row r="129">
      <c r="B129" s="23" t="inlineStr">
        <is>
          <t>Ramp-up Kosten</t>
        </is>
      </c>
      <c r="C129" s="23" t="inlineStr">
        <is>
          <t>Anmerkungen</t>
        </is>
      </c>
      <c r="D129" s="24" t="n"/>
      <c r="E129" s="24" t="n"/>
      <c r="F129" s="24" t="n"/>
    </row>
    <row r="130">
      <c r="B130" s="35" t="inlineStr">
        <is>
          <t>Betriebsmittel</t>
        </is>
      </c>
      <c r="C130" s="36" t="inlineStr">
        <is>
          <t>XXX – nicht aus dem Mietvertrag ableitbar, aus Target-Unterlagen zu ergänzen</t>
        </is>
      </c>
      <c r="D130" s="37" t="n"/>
      <c r="E130" s="38" t="n"/>
      <c r="F130" s="33" t="n">
        <v>0</v>
      </c>
    </row>
    <row r="131">
      <c r="B131" s="35" t="inlineStr">
        <is>
          <t>Werbung / Marketing</t>
        </is>
      </c>
      <c r="C131" s="25" t="inlineStr">
        <is>
          <t>XXX</t>
        </is>
      </c>
      <c r="D131" s="39" t="n"/>
      <c r="E131" s="40" t="n"/>
      <c r="F131" s="33" t="n">
        <v>0</v>
      </c>
    </row>
    <row r="132">
      <c r="B132" s="35" t="inlineStr">
        <is>
          <t>Personalbeschaffung</t>
        </is>
      </c>
      <c r="C132" s="25" t="inlineStr">
        <is>
          <t>XXX</t>
        </is>
      </c>
      <c r="D132" s="39" t="n"/>
      <c r="E132" s="40" t="n"/>
      <c r="F132" s="33" t="n">
        <v>0</v>
      </c>
    </row>
    <row r="133">
      <c r="B133" s="35" t="inlineStr">
        <is>
          <t>Planungskosten</t>
        </is>
      </c>
      <c r="C133" s="25" t="inlineStr">
        <is>
          <t>XXX</t>
        </is>
      </c>
      <c r="D133" s="39" t="n"/>
      <c r="E133" s="40" t="n"/>
      <c r="F133" s="33" t="n">
        <v>0</v>
      </c>
    </row>
    <row r="134">
      <c r="B134" s="35" t="inlineStr">
        <is>
          <t>Makler</t>
        </is>
      </c>
      <c r="C134" s="25" t="inlineStr">
        <is>
          <t>XXX</t>
        </is>
      </c>
      <c r="D134" s="39" t="n"/>
      <c r="E134" s="40" t="n"/>
      <c r="F134" s="33" t="n">
        <v>0</v>
      </c>
    </row>
    <row r="135">
      <c r="B135" s="35" t="inlineStr">
        <is>
          <t>[Platzhalter]</t>
        </is>
      </c>
      <c r="C135" s="25" t="inlineStr">
        <is>
          <t>XXX</t>
        </is>
      </c>
      <c r="D135" s="39" t="n"/>
      <c r="E135" s="40" t="n"/>
      <c r="F135" s="33" t="n">
        <v>0</v>
      </c>
    </row>
    <row r="136">
      <c r="B136" s="35" t="inlineStr">
        <is>
          <t>[Platzhalter]</t>
        </is>
      </c>
      <c r="C136" s="25" t="inlineStr">
        <is>
          <t>XXX</t>
        </is>
      </c>
      <c r="D136" s="39" t="n"/>
      <c r="E136" s="40" t="n"/>
      <c r="F136" s="33" t="n">
        <v>0</v>
      </c>
    </row>
    <row r="137">
      <c r="B137" s="35" t="inlineStr">
        <is>
          <t>[Platzhalter]</t>
        </is>
      </c>
      <c r="C137" s="25" t="inlineStr">
        <is>
          <t>XXX</t>
        </is>
      </c>
      <c r="D137" s="39" t="n"/>
      <c r="E137" s="40" t="n"/>
      <c r="F137" s="33" t="n">
        <v>0</v>
      </c>
    </row>
    <row r="138">
      <c r="B138" s="35" t="inlineStr">
        <is>
          <t>[Platzhalter]</t>
        </is>
      </c>
      <c r="C138" s="25" t="inlineStr">
        <is>
          <t>XXX</t>
        </is>
      </c>
      <c r="D138" s="39" t="n"/>
      <c r="E138" s="40" t="n"/>
      <c r="F138" s="33" t="n">
        <v>0</v>
      </c>
    </row>
    <row r="139">
      <c r="B139" s="35" t="inlineStr">
        <is>
          <t>[Platzhalter]</t>
        </is>
      </c>
      <c r="C139" s="25" t="inlineStr">
        <is>
          <t>XXX</t>
        </is>
      </c>
      <c r="D139" s="39" t="n"/>
      <c r="E139" s="40" t="n"/>
      <c r="F139" s="33" t="n">
        <v>0</v>
      </c>
    </row>
    <row r="140" ht="8.25" customHeight="1">
      <c r="B140" s="14" t="n"/>
      <c r="C140" s="15" t="n"/>
      <c r="D140" s="16" t="n"/>
      <c r="E140" s="17" t="n"/>
      <c r="F140" s="17" t="n"/>
    </row>
    <row r="141" customFormat="1" s="1">
      <c r="B141" s="1" t="inlineStr">
        <is>
          <t>Summe</t>
        </is>
      </c>
      <c r="C141" s="18" t="n"/>
      <c r="D141" s="19" t="n"/>
      <c r="E141" s="20" t="n"/>
      <c r="F141" s="20">
        <f>+SUM(F130:F140)</f>
        <v/>
      </c>
    </row>
    <row r="142" ht="6.75" customHeight="1" thickBot="1">
      <c r="B142" s="7" t="n"/>
      <c r="C142" s="8" t="n"/>
      <c r="D142" s="7" t="n"/>
      <c r="E142" s="7" t="n"/>
      <c r="F142" s="7" t="n"/>
    </row>
  </sheetData>
  <mergeCells count="1">
    <mergeCell ref="C22:F22"/>
  </mergeCells>
  <pageMargins left="0.5118110236220472" right="0.5118110236220472" top="0.7874015748031497" bottom="0.7874015748031497" header="0.3149606299212598" footer="0.3149606299212598"/>
  <pageSetup orientation="portrait" paperSize="9" scale="96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42"/>
  <sheetViews>
    <sheetView showGridLines="0" workbookViewId="0">
      <selection activeCell="A1" sqref="A1"/>
    </sheetView>
  </sheetViews>
  <sheetFormatPr baseColWidth="10" defaultRowHeight="15"/>
  <cols>
    <col width="3.85546875" customWidth="1" style="2" min="1" max="1"/>
    <col width="44.28515625" customWidth="1" style="2" min="2" max="2"/>
    <col width="35" customWidth="1" style="2" min="3" max="3"/>
    <col width="12.85546875" customWidth="1" style="2" min="4" max="6"/>
    <col width="11.42578125" customWidth="1" style="2" min="7" max="16384"/>
  </cols>
  <sheetData>
    <row r="2">
      <c r="B2" s="1" t="inlineStr">
        <is>
          <t>Übersicht Mietvertragskonditionen</t>
        </is>
      </c>
    </row>
    <row r="4">
      <c r="B4" s="3" t="inlineStr">
        <is>
          <t>Standort:</t>
        </is>
      </c>
      <c r="C4" t="inlineStr">
        <is>
          <t>Baesweiler (Bestand)</t>
        </is>
      </c>
    </row>
    <row r="6">
      <c r="B6" s="4" t="inlineStr">
        <is>
          <t>Eckdaten</t>
        </is>
      </c>
      <c r="C6" s="5" t="n"/>
      <c r="D6" s="5" t="n"/>
      <c r="E6" s="5" t="n"/>
      <c r="F6" s="5" t="n"/>
    </row>
    <row r="7">
      <c r="B7" s="6" t="inlineStr">
        <is>
          <t>Eigentümer</t>
        </is>
      </c>
      <c r="C7" s="25" t="inlineStr">
        <is>
          <t>Jans &amp; Willems GbR</t>
        </is>
      </c>
      <c r="D7" s="26" t="n"/>
      <c r="E7" s="26" t="n"/>
      <c r="F7" s="26" t="n"/>
    </row>
    <row r="8">
      <c r="B8" s="6" t="inlineStr">
        <is>
          <t>Vermieter</t>
        </is>
      </c>
      <c r="C8" s="25" t="inlineStr">
        <is>
          <t>Jans &amp; Willems GbR, Pfarrer-Hecker-Str. 33, 41849 Wassenberg, vertreten durch Werner Jans</t>
        </is>
      </c>
      <c r="D8" s="26" t="n"/>
      <c r="E8" s="26" t="n"/>
      <c r="F8" s="26" t="n"/>
    </row>
    <row r="9">
      <c r="B9" s="6" t="inlineStr">
        <is>
          <t>Mieter</t>
        </is>
      </c>
      <c r="C9" s="25" t="inlineStr">
        <is>
          <t>365° Pflegezentrum Marianne Weiß GmbH, Alleestraße 68, 42853 Remscheid (opseo-Gruppe)</t>
        </is>
      </c>
      <c r="D9" s="26" t="n"/>
      <c r="E9" s="26" t="n"/>
      <c r="F9" s="26" t="n"/>
    </row>
    <row r="10">
      <c r="B10" s="6" t="inlineStr">
        <is>
          <t>Adresse</t>
        </is>
      </c>
      <c r="C10" s="25" t="inlineStr">
        <is>
          <t>Lessingstr. 3, 52499 Baesweiler</t>
        </is>
      </c>
      <c r="D10" s="26" t="n"/>
      <c r="E10" s="26" t="n"/>
      <c r="F10" s="26" t="n"/>
    </row>
    <row r="11">
      <c r="B11" s="6" t="inlineStr">
        <is>
          <t>Baujahr der Immobilie</t>
        </is>
      </c>
      <c r="C11" s="25" t="inlineStr">
        <is>
          <t>XXX – im Vertrag nicht genannt</t>
        </is>
      </c>
      <c r="D11" s="26" t="n"/>
      <c r="E11" s="26" t="n"/>
      <c r="F11" s="26" t="n"/>
    </row>
    <row r="12">
      <c r="B12" s="6" t="inlineStr">
        <is>
          <t>Mietzweck</t>
        </is>
      </c>
      <c r="C12" s="25" t="inlineStr">
        <is>
          <t>Betrieb einer Pflegeeinrichtung zur außerklinischen Versorgung, insbesondere Beatmungs- und Intensivpflege; Nutzung als Intensivpflege-Wohngemeinschaft gem. Baugenehmigung (§1.1, §1.3)</t>
        </is>
      </c>
      <c r="D12" s="26" t="n"/>
      <c r="E12" s="26" t="n"/>
      <c r="F12" s="26" t="n"/>
    </row>
    <row r="13">
      <c r="B13" s="6" t="inlineStr">
        <is>
          <t>Festlaufzeit</t>
        </is>
      </c>
      <c r="C13" s="25" t="inlineStr">
        <is>
          <t>5 Jahre Kündigungsausschluss (§2.2). ACHTUNG Widerspruch: Optionsrecht erst "nach Ablauf der ersten zehn Mietjahre" (§2.2), Miete für 10 Jahre fest vereinbart (§4.1). Klärungsbedarf.</t>
        </is>
      </c>
      <c r="D13" s="26" t="n"/>
      <c r="E13" s="26" t="n"/>
      <c r="F13" s="26" t="n"/>
    </row>
    <row r="14">
      <c r="B14" s="6" t="inlineStr">
        <is>
          <t>Verlängerungsoptionen</t>
        </is>
      </c>
      <c r="C14" s="25" t="inlineStr">
        <is>
          <t>2x 5 Jahre; Ausübung schriftlich per Brief oder E-Mail spätestens 6 Monate vor Ablauf (§2.2). Danach unbestimmte Zeit mit 6-Monats-Kündigungsfrist.</t>
        </is>
      </c>
      <c r="D14" s="26" t="n"/>
      <c r="E14" s="26" t="n"/>
      <c r="F14" s="26" t="n"/>
    </row>
    <row r="15">
      <c r="B15" s="6" t="inlineStr">
        <is>
          <t>Mietbeginn</t>
        </is>
      </c>
      <c r="C15" s="25" t="inlineStr">
        <is>
          <t>Monatserster des auf den Vollzug des Kaufvertrags folgenden Kalendermonats (§2.1) – XXX, Vollzugsdatum des Kaufvertrags Kuijpers v. 17.03.2023 zu bestätigen</t>
        </is>
      </c>
      <c r="D15" s="26" t="n"/>
      <c r="E15" s="26" t="n"/>
      <c r="F15" s="26" t="n"/>
    </row>
    <row r="16">
      <c r="B16" s="6" t="inlineStr">
        <is>
          <t>Übergabezeitpunkt</t>
        </is>
      </c>
      <c r="C16" s="25" t="inlineStr">
        <is>
          <t>Übergabeanspruch erst nach Stellung der Sicherheit (§3.1); Übernahmepflicht am Übergabetag; geringfügige Mängel hindern die Übergabe nicht (§3.2). Keine Vertragsstrafe geregelt.</t>
        </is>
      </c>
      <c r="D16" s="26" t="n"/>
      <c r="E16" s="26" t="n"/>
      <c r="F16" s="26" t="n"/>
    </row>
    <row r="17">
      <c r="B17" s="6" t="inlineStr">
        <is>
          <t>Aufschiebende Bedingung / Rücktrittsrecht</t>
        </is>
      </c>
      <c r="C17" s="25" t="inlineStr">
        <is>
          <t>Ja – der gesamte Mietvertrag steht unter der aufschiebenden Bedingung des Vollzugs des Kauf- und Übertragungsvertrags betreffend Kuijpers Ambulante Pflege GmbH und PWH GmbH &amp; Co. KG vom 17.03.2023</t>
        </is>
      </c>
      <c r="D17" s="26" t="n"/>
      <c r="E17" s="26" t="n"/>
      <c r="F17" s="26" t="n"/>
    </row>
    <row r="18">
      <c r="B18" s="6" t="inlineStr">
        <is>
          <t>Mietfreie Zeit</t>
        </is>
      </c>
      <c r="C18" s="25" t="inlineStr">
        <is>
          <t>Keine</t>
        </is>
      </c>
      <c r="D18" s="26" t="n"/>
      <c r="E18" s="26" t="n"/>
      <c r="F18" s="26" t="n"/>
    </row>
    <row r="19">
      <c r="B19" s="6" t="inlineStr">
        <is>
          <t>Wertsicherung (VPI)</t>
        </is>
      </c>
      <c r="C19" s="25" t="inlineStr">
        <is>
          <t>Keine Indexierung vereinbart – die Miete ist für den Zeitraum von zehn Jahren fest vereinbart (§4.1). Deutlicher Vorteil gegenüber Würselen.</t>
        </is>
      </c>
      <c r="D19" s="26" t="n"/>
      <c r="E19" s="26" t="n"/>
      <c r="F19" s="26" t="n"/>
    </row>
    <row r="20">
      <c r="B20" s="6" t="inlineStr">
        <is>
          <t>Rückbauverpflichtung Mieter</t>
        </is>
      </c>
      <c r="C20" s="25" t="inlineStr">
        <is>
          <t>Keine – ausdrücklich klargestellt, dass gemäß Zustand bei Mietbeginn keine Rückbauverpflichtungen entstehen (§15.1). Der Vermieter kann die Übernahme von Um-/Einbauten gegen Zeitwertentschädigung verlangen (§8.1.1).</t>
        </is>
      </c>
      <c r="D20" s="26" t="n"/>
      <c r="E20" s="26" t="n"/>
      <c r="F20" s="26" t="n"/>
    </row>
    <row r="21">
      <c r="B21" s="6" t="inlineStr">
        <is>
          <t>Untervermietung</t>
        </is>
      </c>
      <c r="C21" s="25" t="inlineStr">
        <is>
          <t>Grundsätzlich zustimmungspflichtig; ohne Zustimmung zulässig an verbundene Unternehmen i.S.d. §§15 ff. AktG sowie die Untervermietung einzelner Räume an pflegebedürftige Bewohner (§6.1)</t>
        </is>
      </c>
      <c r="D21" s="26" t="n"/>
      <c r="E21" s="26" t="n"/>
      <c r="F21" s="26" t="n"/>
    </row>
    <row r="22" ht="65.25" customHeight="1">
      <c r="B22" s="6" t="inlineStr">
        <is>
          <t>Mietsicherheit</t>
        </is>
      </c>
      <c r="C22" s="46" t="inlineStr">
        <is>
          <t>Patronatserklärung der Muttergesellschaft opseo Intensivpflege Holding B.V., beschränkt auf eine Jahreskaltmiete (= 102.000 €), zu stellen binnen 4 Wochen nach Unterzeichnung (§5.1). Austausch bei Gesellschafterwechsel möglich (§5.3).</t>
        </is>
      </c>
      <c r="D22" s="51" t="n"/>
      <c r="E22" s="51" t="n"/>
      <c r="F22" s="51" t="n"/>
    </row>
    <row r="23">
      <c r="B23" s="6" t="inlineStr">
        <is>
          <t>Konkurrenzschutz</t>
        </is>
      </c>
      <c r="C23" s="25" t="inlineStr">
        <is>
          <t>Nicht geregelt – kein Konkurrenzschutz vereinbart</t>
        </is>
      </c>
      <c r="D23" s="26" t="n"/>
      <c r="E23" s="26" t="n"/>
      <c r="F23" s="26" t="n"/>
    </row>
    <row r="24">
      <c r="B24" s="6" t="inlineStr">
        <is>
          <t>Sonderkündigungsrecht</t>
        </is>
      </c>
      <c r="C24" s="25" t="inlineStr">
        <is>
          <t>Ja – bei behördlicher Nutzungsuntersagung wegen des baulichen bzw. bau- und brandschutztechnischen Zustands, sofern der Vermieter sie nicht abwenden kann (§1.4)</t>
        </is>
      </c>
      <c r="D24" s="26" t="n"/>
      <c r="E24" s="26" t="n"/>
      <c r="F24" s="26" t="n"/>
    </row>
    <row r="25">
      <c r="B25" s="6" t="inlineStr">
        <is>
          <t>Instandhaltung/Instandsetzung</t>
        </is>
      </c>
      <c r="C25" s="25" t="inlineStr">
        <is>
          <t>Dach und Fach beim Vermieter auf dessen Kosten (§7.1). Übrige Instandhaltung/Instandsetzung des Gebäudes inkl. technischer Anlagen veranlasst der Vermieter; Kosten werden über die Nebenkostenabrechnung umgelegt, begrenzt auf 5 % der jährlichen Nettokaltmiete (§7.2). Schönheitsreparaturen beim Mieter (§7.4).</t>
        </is>
      </c>
      <c r="D25" s="26" t="n"/>
      <c r="E25" s="26" t="n"/>
      <c r="F25" s="26" t="n"/>
    </row>
    <row r="26">
      <c r="B26" s="6" t="inlineStr">
        <is>
          <t>Besonderheiten / Sonstiges</t>
        </is>
      </c>
      <c r="C26" s="25" t="inlineStr">
        <is>
          <t>RED FLAG: Schlussabnahmebescheinigung der Bauaufsicht liegt nicht vor; Nachtragsgenehmigung seit 02.02.2022 beantragt, noch nicht erteilt (§1.1) – in Verbindung mit dem Sonderkündigungsrecht aus §1.4 zu bewerten. Inventar vermieterseitig gestellt (§1.2). Eigener Stromliefervertrag, Abnahmepflicht für den PV-Strom vom Grundstück (§4.2.2). Eintritt in die bestehenden Untermietverträge mit den Patienten (§18). Verkehrssicherung und Winterdienst beim Mieter (§17). Keine USt auf die Miete (§4.1). EG-Wohnung nicht Mietgegenstand, Zugang über den Haupteingang (§9.3). Gerichtsstand Wassenberg (§21).</t>
        </is>
      </c>
      <c r="D26" s="26" t="n"/>
      <c r="E26" s="26" t="n"/>
      <c r="F26" s="26" t="n"/>
    </row>
    <row r="27" ht="6.75" customHeight="1" thickBot="1">
      <c r="B27" s="7" t="n"/>
      <c r="C27" s="8" t="n"/>
      <c r="D27" s="7" t="n"/>
      <c r="E27" s="7" t="n"/>
      <c r="F27" s="7" t="n"/>
    </row>
    <row r="29">
      <c r="B29" s="9" t="inlineStr">
        <is>
          <t>Benchmarks (Neubau)</t>
        </is>
      </c>
      <c r="C29" s="9" t="n"/>
      <c r="D29" s="9" t="n"/>
      <c r="E29" s="9" t="n"/>
      <c r="F29" s="9" t="n"/>
    </row>
    <row r="30">
      <c r="B30" s="6" t="inlineStr">
        <is>
          <t>Miete/m² (Neubau) - kein BKZ</t>
        </is>
      </c>
      <c r="C30" s="52" t="n">
        <v>20</v>
      </c>
      <c r="D30" s="26" t="n"/>
      <c r="E30" s="26" t="n"/>
      <c r="F30" s="26" t="n"/>
    </row>
    <row r="31">
      <c r="B31" s="6" t="inlineStr">
        <is>
          <t>Miete/m² inkl. BKZ</t>
        </is>
      </c>
      <c r="C31" s="52" t="n">
        <v>20</v>
      </c>
      <c r="D31" s="26" t="n"/>
      <c r="E31" s="26" t="n"/>
      <c r="F31" s="26" t="n"/>
    </row>
    <row r="32">
      <c r="B32" s="6" t="inlineStr">
        <is>
          <t>Nebenkosten/m²</t>
        </is>
      </c>
      <c r="C32" s="52" t="n">
        <v>3</v>
      </c>
      <c r="D32" s="26" t="n"/>
      <c r="E32" s="26" t="n"/>
      <c r="F32" s="26" t="n"/>
    </row>
    <row r="33">
      <c r="B33" s="6" t="inlineStr">
        <is>
          <t>Fläche pro Bett</t>
        </is>
      </c>
      <c r="C33" s="53" t="inlineStr">
        <is>
          <t>50m²</t>
        </is>
      </c>
      <c r="D33" s="54" t="inlineStr">
        <is>
          <t xml:space="preserve"> (d.h. 6er WG: 300m²; 12er WG: 600m²)</t>
        </is>
      </c>
      <c r="E33" s="26" t="n"/>
      <c r="F33" s="26" t="n"/>
    </row>
    <row r="34">
      <c r="B34" s="6" t="inlineStr">
        <is>
          <t>Miete pro Bett pro Monat (exkl. Baukostenzuschuss)</t>
        </is>
      </c>
      <c r="C34" s="53" t="n">
        <v>1000</v>
      </c>
      <c r="D34" s="26" t="n"/>
      <c r="E34" s="26" t="n"/>
      <c r="F34" s="26" t="n"/>
    </row>
    <row r="35">
      <c r="B35" s="6" t="inlineStr">
        <is>
          <t>Miete pro Bett pro Monat (inkl. BKZ über 10 Jahre)</t>
        </is>
      </c>
      <c r="C35" s="53">
        <f>+C34</f>
        <v/>
      </c>
      <c r="D35" s="26" t="n"/>
      <c r="E35" s="26" t="n"/>
      <c r="F35" s="26" t="n"/>
    </row>
    <row r="36">
      <c r="B36" s="6" t="inlineStr">
        <is>
          <t>Baukostenzuschuss pro Bett</t>
        </is>
      </c>
      <c r="C36" s="53" t="n">
        <v>0</v>
      </c>
      <c r="D36" s="54" t="n"/>
      <c r="E36" s="26" t="n"/>
      <c r="F36" s="26" t="n"/>
    </row>
    <row r="37">
      <c r="B37" s="6" t="inlineStr">
        <is>
          <t>Capex pro Bett (Möbel, Ausstattung, etc.)</t>
        </is>
      </c>
      <c r="C37" s="53" t="n">
        <v>30000</v>
      </c>
      <c r="D37" s="26" t="n"/>
      <c r="E37" s="26" t="n"/>
      <c r="F37" s="26" t="n"/>
    </row>
    <row r="38">
      <c r="B38" s="6" t="inlineStr">
        <is>
          <t>Baukosten pro qm (Neubau)</t>
        </is>
      </c>
      <c r="C38" s="25" t="inlineStr">
        <is>
          <t>TBD</t>
        </is>
      </c>
      <c r="D38" s="26" t="n"/>
      <c r="E38" s="26" t="n"/>
      <c r="F38" s="26" t="n"/>
    </row>
    <row r="40">
      <c r="B40" s="9" t="inlineStr">
        <is>
          <t>Benchmarks (Bestand)</t>
        </is>
      </c>
      <c r="C40" s="9" t="n"/>
      <c r="D40" s="9" t="n"/>
      <c r="E40" s="9" t="n"/>
      <c r="F40" s="9" t="n"/>
    </row>
    <row r="41">
      <c r="B41" s="6" t="inlineStr">
        <is>
          <t>Miete/m² (Bestand) - kein BKZ</t>
        </is>
      </c>
      <c r="C41" s="52" t="n">
        <v>20</v>
      </c>
      <c r="D41" s="26" t="n"/>
      <c r="E41" s="26" t="n"/>
      <c r="F41" s="26" t="n"/>
    </row>
    <row r="42">
      <c r="B42" s="6" t="inlineStr">
        <is>
          <t>Miete/m² (Bestand) inkl. BKZ</t>
        </is>
      </c>
      <c r="C42" s="52" t="n">
        <v>25</v>
      </c>
      <c r="D42" s="26" t="n"/>
      <c r="E42" s="26" t="n"/>
      <c r="F42" s="26" t="n"/>
    </row>
    <row r="43">
      <c r="B43" s="6" t="inlineStr">
        <is>
          <t>Nebenkosten/m²</t>
        </is>
      </c>
      <c r="C43" s="52" t="n">
        <v>3</v>
      </c>
      <c r="D43" s="26" t="n"/>
      <c r="E43" s="26" t="n"/>
      <c r="F43" s="26" t="n"/>
    </row>
    <row r="44">
      <c r="B44" s="6" t="inlineStr">
        <is>
          <t>Fläche pro Bett</t>
        </is>
      </c>
      <c r="C44" s="53" t="inlineStr">
        <is>
          <t>50m²</t>
        </is>
      </c>
      <c r="D44" s="54" t="inlineStr">
        <is>
          <t xml:space="preserve"> (d.h. 6er WG: 300m²; 12er WG: 600m²)</t>
        </is>
      </c>
      <c r="E44" s="26" t="n"/>
      <c r="F44" s="26" t="n"/>
    </row>
    <row r="45">
      <c r="B45" s="6" t="inlineStr">
        <is>
          <t>Miete pro Bett pro Monat (exkl. Baukostenzuschuss)</t>
        </is>
      </c>
      <c r="C45" s="53" t="n">
        <v>1000</v>
      </c>
      <c r="D45" s="26" t="n"/>
      <c r="E45" s="26" t="n"/>
      <c r="F45" s="26" t="n"/>
    </row>
    <row r="46">
      <c r="B46" s="6" t="inlineStr">
        <is>
          <t>Miete pro Bett pro Monat (inkl. BKZ über 10 Jahre)</t>
        </is>
      </c>
      <c r="C46" s="53" t="n">
        <v>1250</v>
      </c>
      <c r="D46" s="26" t="n"/>
      <c r="E46" s="26" t="n"/>
      <c r="F46" s="26" t="n"/>
    </row>
    <row r="47">
      <c r="B47" s="6" t="inlineStr">
        <is>
          <t>Baukostenzuschuss pro Bett</t>
        </is>
      </c>
      <c r="C47" s="53" t="n">
        <v>40000</v>
      </c>
      <c r="D47" s="54" t="inlineStr">
        <is>
          <t>(d.h. 6er WG: 180.000 €, 12er WG: 360.000 €)</t>
        </is>
      </c>
      <c r="E47" s="26" t="n"/>
      <c r="F47" s="26" t="n"/>
    </row>
    <row r="48">
      <c r="B48" s="6" t="inlineStr">
        <is>
          <t>Capex pro Bett (Möbel, Ausstattung, etc.)</t>
        </is>
      </c>
      <c r="C48" s="53" t="n">
        <v>30000</v>
      </c>
      <c r="D48" s="26" t="n"/>
      <c r="E48" s="26" t="n"/>
      <c r="F48" s="26" t="n"/>
    </row>
    <row r="49">
      <c r="B49" s="6" t="inlineStr">
        <is>
          <t>Baukosten pro qm (Neubau)</t>
        </is>
      </c>
      <c r="C49" s="27" t="n">
        <v>0</v>
      </c>
      <c r="D49" s="26" t="n"/>
      <c r="E49" s="26" t="n"/>
      <c r="F49" s="26" t="n"/>
    </row>
    <row r="51">
      <c r="B51" s="9" t="inlineStr">
        <is>
          <t>Mietkosten</t>
        </is>
      </c>
      <c r="C51" s="9" t="n"/>
      <c r="D51" s="9" t="n"/>
      <c r="E51" s="9" t="n"/>
      <c r="F51" s="9" t="n"/>
    </row>
    <row r="52">
      <c r="B52" s="10" t="inlineStr">
        <is>
          <t>Einheit 1</t>
        </is>
      </c>
      <c r="C52" s="10" t="n"/>
      <c r="D52" s="10" t="n"/>
      <c r="E52" s="10" t="n"/>
      <c r="F52" s="10" t="n"/>
    </row>
    <row r="53">
      <c r="B53" s="6" t="inlineStr">
        <is>
          <t>Art (z.B. WG, Büro, etc.)</t>
        </is>
      </c>
      <c r="C53" s="27" t="inlineStr">
        <is>
          <t>WG (Intensivpflege-Wohngemeinschaft)</t>
        </is>
      </c>
      <c r="D53" s="26" t="n"/>
      <c r="E53" s="26" t="n"/>
      <c r="F53" s="26" t="n"/>
    </row>
    <row r="54">
      <c r="B54" s="6" t="inlineStr">
        <is>
          <t>Lage der Mietfläche (z.B. EG, 1. OG)</t>
        </is>
      </c>
      <c r="C54" s="27" t="inlineStr">
        <is>
          <t>EG/OG; Abstellräume im Kellergeschoss – im Vertrag nicht näher spezifiziert</t>
        </is>
      </c>
      <c r="D54" s="26" t="n"/>
      <c r="E54" s="26" t="n"/>
      <c r="F54" s="26" t="n"/>
    </row>
    <row r="55">
      <c r="B55" s="6" t="inlineStr">
        <is>
          <t>Kapazität (Anzahl Betten)</t>
        </is>
      </c>
      <c r="C55" s="27" t="n">
        <v>18</v>
      </c>
      <c r="D55" s="26" t="n"/>
      <c r="E55" s="26" t="n"/>
      <c r="F55" s="26" t="n"/>
    </row>
    <row r="56">
      <c r="B56" s="6" t="inlineStr">
        <is>
          <t>Größe der Fläche (in qm)</t>
        </is>
      </c>
      <c r="C56" s="28" t="n">
        <v>1082</v>
      </c>
      <c r="D56" s="26" t="n"/>
      <c r="E56" s="26" t="n"/>
      <c r="F56" s="26" t="n"/>
    </row>
    <row r="57">
      <c r="B57" s="6" t="inlineStr">
        <is>
          <t>Mietbeginn (falls abweichned)</t>
        </is>
      </c>
      <c r="C57" s="29" t="inlineStr">
        <is>
          <t>XXX – siehe Mietbeginn</t>
        </is>
      </c>
      <c r="D57" s="26" t="n"/>
      <c r="E57" s="26" t="n"/>
      <c r="F57" s="26" t="n"/>
    </row>
    <row r="59">
      <c r="B59" s="11" t="inlineStr">
        <is>
          <t>Kosten Einheit 1</t>
        </is>
      </c>
      <c r="C59" s="12" t="inlineStr">
        <is>
          <t>Anzahl</t>
        </is>
      </c>
      <c r="D59" s="12" t="inlineStr">
        <is>
          <t>€ pro Einheit</t>
        </is>
      </c>
      <c r="E59" s="12" t="inlineStr">
        <is>
          <t>€ pro Monat</t>
        </is>
      </c>
      <c r="F59" s="12" t="inlineStr">
        <is>
          <t>€ pro Jahr</t>
        </is>
      </c>
    </row>
    <row r="60">
      <c r="B60" s="2" t="inlineStr">
        <is>
          <t>Nettokaltmiete</t>
        </is>
      </c>
      <c r="C60" s="30" t="n">
        <v>1082</v>
      </c>
      <c r="D60" s="31" t="n">
        <v>7.855822550831793</v>
      </c>
      <c r="E60" s="13">
        <f>+C60*D60</f>
        <v/>
      </c>
      <c r="F60" s="13">
        <f>+E60*12</f>
        <v/>
      </c>
    </row>
    <row r="61">
      <c r="B61" s="6" t="inlineStr">
        <is>
          <t>Nebenkostenpauschale</t>
        </is>
      </c>
      <c r="C61" s="32">
        <f>+C60</f>
        <v/>
      </c>
      <c r="D61" s="33" t="n">
        <v>4.343807763401109</v>
      </c>
      <c r="E61" s="13">
        <f>+C61*D61</f>
        <v/>
      </c>
      <c r="F61" s="13">
        <f>+E61*12</f>
        <v/>
      </c>
    </row>
    <row r="62">
      <c r="B62" s="6" t="inlineStr">
        <is>
          <t>Stellplätze</t>
        </is>
      </c>
      <c r="C62" s="34" t="n">
        <v>0</v>
      </c>
      <c r="D62" s="33" t="n">
        <v>0</v>
      </c>
      <c r="E62" s="13">
        <f>+C62*D62</f>
        <v/>
      </c>
      <c r="F62" s="13">
        <f>+E62*12</f>
        <v/>
      </c>
    </row>
    <row r="63">
      <c r="B63" s="6" t="inlineStr">
        <is>
          <t>Terasse</t>
        </is>
      </c>
      <c r="C63" s="32" t="n">
        <v>0</v>
      </c>
      <c r="D63" s="33" t="n">
        <v>0</v>
      </c>
      <c r="E63" s="13">
        <f>+C63*D63</f>
        <v/>
      </c>
      <c r="F63" s="13">
        <f>+E63*12</f>
        <v/>
      </c>
    </row>
    <row r="64">
      <c r="B64" s="6" t="inlineStr">
        <is>
          <t>Keller</t>
        </is>
      </c>
      <c r="C64" s="32" t="n">
        <v>0</v>
      </c>
      <c r="D64" s="33" t="n">
        <v>0</v>
      </c>
      <c r="E64" s="13">
        <f>+C64*D64</f>
        <v/>
      </c>
      <c r="F64" s="13">
        <f>+E64*12</f>
        <v/>
      </c>
    </row>
    <row r="65">
      <c r="B65" s="6" t="inlineStr">
        <is>
          <t>Sonstiges</t>
        </is>
      </c>
      <c r="C65" s="34" t="n">
        <v>0</v>
      </c>
      <c r="D65" s="33" t="n">
        <v>0</v>
      </c>
      <c r="E65" s="13">
        <f>+C65*D65</f>
        <v/>
      </c>
      <c r="F65" s="13">
        <f>+E65*12</f>
        <v/>
      </c>
    </row>
    <row r="66" ht="8.25" customHeight="1">
      <c r="B66" s="14" t="n"/>
      <c r="C66" s="15" t="n"/>
      <c r="D66" s="16" t="n"/>
      <c r="E66" s="17" t="n"/>
      <c r="F66" s="17" t="n"/>
    </row>
    <row r="67" customFormat="1" s="1">
      <c r="B67" s="1" t="inlineStr">
        <is>
          <t>Summe</t>
        </is>
      </c>
      <c r="C67" s="18" t="n"/>
      <c r="D67" s="19" t="n"/>
      <c r="E67" s="20">
        <f>+SUM(E60:E66)</f>
        <v/>
      </c>
      <c r="F67" s="20">
        <f>+SUM(F60:F66)</f>
        <v/>
      </c>
    </row>
    <row r="68" ht="6.75" customHeight="1" thickBot="1">
      <c r="B68" s="7" t="n"/>
      <c r="C68" s="8" t="n"/>
      <c r="D68" s="7" t="n"/>
      <c r="E68" s="7" t="n"/>
      <c r="F68" s="7" t="n"/>
    </row>
    <row r="70">
      <c r="B70" s="10" t="inlineStr">
        <is>
          <t>Einheit 2</t>
        </is>
      </c>
      <c r="C70" s="10" t="n"/>
      <c r="D70" s="10" t="n"/>
      <c r="E70" s="10" t="n"/>
      <c r="F70" s="10" t="n"/>
    </row>
    <row r="71">
      <c r="B71" s="6" t="inlineStr">
        <is>
          <t>Art (z.B. WG, Büro, etc.)</t>
        </is>
      </c>
      <c r="C71" s="27" t="inlineStr">
        <is>
          <t>entfällt</t>
        </is>
      </c>
      <c r="D71" s="26" t="n"/>
      <c r="E71" s="26" t="n"/>
      <c r="F71" s="26" t="n"/>
    </row>
    <row r="72">
      <c r="B72" s="6" t="inlineStr">
        <is>
          <t>Lage der Mietfläche (z.B. EG, 1. OG)</t>
        </is>
      </c>
      <c r="C72" s="27" t="inlineStr">
        <is>
          <t>EG</t>
        </is>
      </c>
      <c r="D72" s="26" t="n"/>
      <c r="E72" s="26" t="n"/>
      <c r="F72" s="26" t="n"/>
    </row>
    <row r="73">
      <c r="B73" s="6" t="inlineStr">
        <is>
          <t>Kapazität (Anzahl Betten)</t>
        </is>
      </c>
      <c r="C73" s="27" t="n">
        <v>0</v>
      </c>
      <c r="D73" s="26" t="n"/>
      <c r="E73" s="26" t="n"/>
      <c r="F73" s="26" t="n"/>
    </row>
    <row r="74">
      <c r="B74" s="6" t="inlineStr">
        <is>
          <t>Größe der Fläche (in qm)</t>
        </is>
      </c>
      <c r="C74" s="28" t="n">
        <v>0</v>
      </c>
      <c r="D74" s="26" t="n"/>
      <c r="E74" s="26" t="n"/>
      <c r="F74" s="26" t="n"/>
    </row>
    <row r="75">
      <c r="B75" s="6" t="inlineStr">
        <is>
          <t>Mietbeginn (falls abweichned)</t>
        </is>
      </c>
      <c r="C75" s="29" t="n"/>
      <c r="D75" s="26" t="n"/>
      <c r="E75" s="26" t="n"/>
      <c r="F75" s="26" t="n"/>
    </row>
    <row r="77">
      <c r="B77" s="11" t="inlineStr">
        <is>
          <t>Kosten Einheit 2</t>
        </is>
      </c>
      <c r="C77" s="12" t="inlineStr">
        <is>
          <t>Anzahl</t>
        </is>
      </c>
      <c r="D77" s="12" t="inlineStr">
        <is>
          <t>€ pro Einheit</t>
        </is>
      </c>
      <c r="E77" s="12" t="inlineStr">
        <is>
          <t>€ pro Monat</t>
        </is>
      </c>
      <c r="F77" s="12" t="inlineStr">
        <is>
          <t>€ pro Jahr</t>
        </is>
      </c>
    </row>
    <row r="78">
      <c r="B78" s="2" t="inlineStr">
        <is>
          <t>Nettokaltmiete</t>
        </is>
      </c>
      <c r="C78" s="30" t="n">
        <v>0</v>
      </c>
      <c r="D78" s="31" t="n">
        <v>0</v>
      </c>
      <c r="E78" s="13">
        <f>+C78*D78</f>
        <v/>
      </c>
      <c r="F78" s="13">
        <f>+E78*12</f>
        <v/>
      </c>
    </row>
    <row r="79">
      <c r="B79" s="6" t="inlineStr">
        <is>
          <t>Nebenkostenpauschale</t>
        </is>
      </c>
      <c r="C79" s="32">
        <f>+C78</f>
        <v/>
      </c>
      <c r="D79" s="33" t="n">
        <v>0</v>
      </c>
      <c r="E79" s="13">
        <f>+C79*D79</f>
        <v/>
      </c>
      <c r="F79" s="13">
        <f>+E79*12</f>
        <v/>
      </c>
    </row>
    <row r="80">
      <c r="B80" s="6" t="inlineStr">
        <is>
          <t>Stellplätze</t>
        </is>
      </c>
      <c r="C80" s="34" t="n">
        <v>0</v>
      </c>
      <c r="D80" s="33" t="n">
        <v>0</v>
      </c>
      <c r="E80" s="13">
        <f>+C80*D80</f>
        <v/>
      </c>
      <c r="F80" s="13">
        <f>+E80*12</f>
        <v/>
      </c>
    </row>
    <row r="81">
      <c r="B81" s="6" t="inlineStr">
        <is>
          <t>Terasse</t>
        </is>
      </c>
      <c r="C81" s="32" t="n">
        <v>0</v>
      </c>
      <c r="D81" s="33" t="n">
        <v>0</v>
      </c>
      <c r="E81" s="13">
        <f>+C81*D81</f>
        <v/>
      </c>
      <c r="F81" s="13">
        <f>+E81*12</f>
        <v/>
      </c>
    </row>
    <row r="82">
      <c r="B82" s="6" t="inlineStr">
        <is>
          <t>Keller</t>
        </is>
      </c>
      <c r="C82" s="32" t="n">
        <v>0</v>
      </c>
      <c r="D82" s="33" t="n">
        <v>0</v>
      </c>
      <c r="E82" s="13">
        <f>+C82*D82</f>
        <v/>
      </c>
      <c r="F82" s="13">
        <f>+E82*12</f>
        <v/>
      </c>
    </row>
    <row r="83">
      <c r="B83" s="6" t="inlineStr">
        <is>
          <t>Sonstiges</t>
        </is>
      </c>
      <c r="C83" s="34" t="n">
        <v>0</v>
      </c>
      <c r="D83" s="33" t="n">
        <v>0</v>
      </c>
      <c r="E83" s="13">
        <f>+C83*D83</f>
        <v/>
      </c>
      <c r="F83" s="13">
        <f>+E83*12</f>
        <v/>
      </c>
    </row>
    <row r="84" ht="8.25" customHeight="1">
      <c r="B84" s="14" t="n"/>
      <c r="C84" s="15" t="n"/>
      <c r="D84" s="16" t="n"/>
      <c r="E84" s="17" t="n"/>
      <c r="F84" s="17" t="n"/>
    </row>
    <row r="85" customFormat="1" s="1">
      <c r="B85" s="1" t="inlineStr">
        <is>
          <t>Summe</t>
        </is>
      </c>
      <c r="C85" s="18" t="n"/>
      <c r="D85" s="19" t="n"/>
      <c r="E85" s="20">
        <f>+SUM(E78:E84)</f>
        <v/>
      </c>
      <c r="F85" s="20">
        <f>+SUM(F78:F84)</f>
        <v/>
      </c>
    </row>
    <row r="86" ht="6.75" customHeight="1" thickBot="1">
      <c r="B86" s="7" t="n"/>
      <c r="C86" s="8" t="n"/>
      <c r="D86" s="7" t="n"/>
      <c r="E86" s="7" t="n"/>
      <c r="F86" s="7" t="n"/>
    </row>
    <row r="88">
      <c r="B88" s="10" t="inlineStr">
        <is>
          <t>Einheit 3</t>
        </is>
      </c>
      <c r="C88" s="10" t="n"/>
      <c r="D88" s="10" t="n"/>
      <c r="E88" s="10" t="n"/>
      <c r="F88" s="10" t="n"/>
    </row>
    <row r="89">
      <c r="B89" s="6" t="inlineStr">
        <is>
          <t>Art (z.B. WG, Büro, etc.)</t>
        </is>
      </c>
      <c r="C89" s="27" t="inlineStr">
        <is>
          <t>entfällt</t>
        </is>
      </c>
      <c r="D89" s="26" t="n"/>
      <c r="E89" s="26" t="n"/>
      <c r="F89" s="26" t="n"/>
    </row>
    <row r="90">
      <c r="B90" s="6" t="inlineStr">
        <is>
          <t>Lage der Mietfläche (z.B. EG, 1. OG)</t>
        </is>
      </c>
      <c r="C90" s="27" t="inlineStr">
        <is>
          <t>EG</t>
        </is>
      </c>
      <c r="D90" s="26" t="n"/>
      <c r="E90" s="26" t="n"/>
      <c r="F90" s="26" t="n"/>
    </row>
    <row r="91">
      <c r="B91" s="6" t="inlineStr">
        <is>
          <t>Kapazität (Anzahl Betten)</t>
        </is>
      </c>
      <c r="C91" s="27" t="n">
        <v>0</v>
      </c>
      <c r="D91" s="26" t="n"/>
      <c r="E91" s="26" t="n"/>
      <c r="F91" s="26" t="n"/>
    </row>
    <row r="92">
      <c r="B92" s="6" t="inlineStr">
        <is>
          <t>Größe der Fläche (in qm)</t>
        </is>
      </c>
      <c r="C92" s="28" t="n">
        <v>0</v>
      </c>
      <c r="D92" s="26" t="n"/>
      <c r="E92" s="26" t="n"/>
      <c r="F92" s="26" t="n"/>
    </row>
    <row r="93">
      <c r="B93" s="6" t="inlineStr">
        <is>
          <t>Mietbeginn (falls abweichned)</t>
        </is>
      </c>
      <c r="C93" s="29" t="n"/>
      <c r="D93" s="26" t="n"/>
      <c r="E93" s="26" t="n"/>
      <c r="F93" s="26" t="n"/>
    </row>
    <row r="95">
      <c r="B95" s="11" t="inlineStr">
        <is>
          <t>Kosten Einheit 3</t>
        </is>
      </c>
      <c r="C95" s="12" t="inlineStr">
        <is>
          <t>Anzahl</t>
        </is>
      </c>
      <c r="D95" s="12" t="inlineStr">
        <is>
          <t>€ pro Einheit</t>
        </is>
      </c>
      <c r="E95" s="12" t="inlineStr">
        <is>
          <t>€ pro Monat</t>
        </is>
      </c>
      <c r="F95" s="12" t="inlineStr">
        <is>
          <t>€ pro Jahr</t>
        </is>
      </c>
    </row>
    <row r="96">
      <c r="B96" s="2" t="inlineStr">
        <is>
          <t>Nettokaltmiete</t>
        </is>
      </c>
      <c r="C96" s="30" t="n">
        <v>0</v>
      </c>
      <c r="D96" s="31" t="n">
        <v>0</v>
      </c>
      <c r="E96" s="13">
        <f>+C96*D96</f>
        <v/>
      </c>
      <c r="F96" s="13">
        <f>+E96*12</f>
        <v/>
      </c>
    </row>
    <row r="97">
      <c r="B97" s="6" t="inlineStr">
        <is>
          <t>Nebenkostenpauschale</t>
        </is>
      </c>
      <c r="C97" s="32">
        <f>+C96</f>
        <v/>
      </c>
      <c r="D97" s="33" t="n">
        <v>0</v>
      </c>
      <c r="E97" s="13">
        <f>+C97*D97</f>
        <v/>
      </c>
      <c r="F97" s="13">
        <f>+E97*12</f>
        <v/>
      </c>
    </row>
    <row r="98">
      <c r="B98" s="6" t="inlineStr">
        <is>
          <t>Stellplätze</t>
        </is>
      </c>
      <c r="C98" s="34" t="n">
        <v>0</v>
      </c>
      <c r="D98" s="33" t="n">
        <v>0</v>
      </c>
      <c r="E98" s="13">
        <f>+C98*D98</f>
        <v/>
      </c>
      <c r="F98" s="13">
        <f>+E98*12</f>
        <v/>
      </c>
    </row>
    <row r="99">
      <c r="B99" s="6" t="inlineStr">
        <is>
          <t>Terasse</t>
        </is>
      </c>
      <c r="C99" s="32" t="n">
        <v>0</v>
      </c>
      <c r="D99" s="33" t="n">
        <v>0</v>
      </c>
      <c r="E99" s="13">
        <f>+C99*D99</f>
        <v/>
      </c>
      <c r="F99" s="13">
        <f>+E99*12</f>
        <v/>
      </c>
    </row>
    <row r="100">
      <c r="B100" s="6" t="inlineStr">
        <is>
          <t>Keller</t>
        </is>
      </c>
      <c r="C100" s="32" t="n">
        <v>0</v>
      </c>
      <c r="D100" s="33" t="n">
        <v>0</v>
      </c>
      <c r="E100" s="13">
        <f>+C100*D100</f>
        <v/>
      </c>
      <c r="F100" s="13">
        <f>+E100*12</f>
        <v/>
      </c>
    </row>
    <row r="101">
      <c r="B101" s="6" t="inlineStr">
        <is>
          <t>Sonstiges</t>
        </is>
      </c>
      <c r="C101" s="34" t="n">
        <v>0</v>
      </c>
      <c r="D101" s="33" t="n">
        <v>0</v>
      </c>
      <c r="E101" s="13">
        <f>+C101*D101</f>
        <v/>
      </c>
      <c r="F101" s="13">
        <f>+E101*12</f>
        <v/>
      </c>
    </row>
    <row r="102" ht="8.25" customHeight="1">
      <c r="B102" s="14" t="n"/>
      <c r="C102" s="15" t="n"/>
      <c r="D102" s="16" t="n"/>
      <c r="E102" s="17" t="n"/>
      <c r="F102" s="17" t="n"/>
    </row>
    <row r="103" customFormat="1" s="1">
      <c r="B103" s="1" t="inlineStr">
        <is>
          <t>Summe</t>
        </is>
      </c>
      <c r="C103" s="18" t="n"/>
      <c r="D103" s="19" t="n"/>
      <c r="E103" s="20">
        <f>+SUM(E96:E102)</f>
        <v/>
      </c>
      <c r="F103" s="20">
        <f>+SUM(F96:F102)</f>
        <v/>
      </c>
    </row>
    <row r="104" ht="6.75" customHeight="1" thickBot="1">
      <c r="B104" s="7" t="n"/>
      <c r="C104" s="8" t="n"/>
      <c r="D104" s="7" t="n"/>
      <c r="E104" s="7" t="n"/>
      <c r="F104" s="7" t="n"/>
    </row>
    <row r="107">
      <c r="B107" s="23" t="inlineStr">
        <is>
          <t>Capex</t>
        </is>
      </c>
      <c r="C107" s="23" t="inlineStr">
        <is>
          <t>Anmerkungen</t>
        </is>
      </c>
      <c r="D107" s="24" t="n"/>
      <c r="E107" s="24" t="n"/>
      <c r="F107" s="24" t="n"/>
    </row>
    <row r="108">
      <c r="B108" s="35" t="inlineStr">
        <is>
          <t>Möbel Patientenzimmer</t>
        </is>
      </c>
      <c r="C108" s="36" t="inlineStr">
        <is>
          <t>Inventar (Einbauküchen, Pflegebetten, Vorhänge) vermieterseitig gestellt und im Mietzins enthalten (§1.2)</t>
        </is>
      </c>
      <c r="D108" s="37" t="n"/>
      <c r="E108" s="38" t="n"/>
      <c r="F108" s="33" t="n">
        <v>0</v>
      </c>
    </row>
    <row r="109">
      <c r="B109" s="35" t="inlineStr">
        <is>
          <t>Gemeinschaftsbereich</t>
        </is>
      </c>
      <c r="C109" s="25" t="inlineStr">
        <is>
          <t>XXX</t>
        </is>
      </c>
      <c r="D109" s="39" t="n"/>
      <c r="E109" s="40" t="n"/>
      <c r="F109" s="33" t="n">
        <v>0</v>
      </c>
    </row>
    <row r="110">
      <c r="B110" s="35" t="inlineStr">
        <is>
          <t>Schwesternrufanlage</t>
        </is>
      </c>
      <c r="C110" s="25" t="inlineStr">
        <is>
          <t>XXX</t>
        </is>
      </c>
      <c r="D110" s="39" t="n"/>
      <c r="E110" s="40" t="n"/>
      <c r="F110" s="33" t="n">
        <v>0</v>
      </c>
    </row>
    <row r="111">
      <c r="B111" s="35" t="inlineStr">
        <is>
          <t>Pflegebad</t>
        </is>
      </c>
      <c r="C111" s="25" t="inlineStr">
        <is>
          <t>XXX</t>
        </is>
      </c>
      <c r="D111" s="39" t="n"/>
      <c r="E111" s="40" t="n"/>
      <c r="F111" s="33" t="n">
        <v>0</v>
      </c>
    </row>
    <row r="112">
      <c r="B112" s="35" t="inlineStr">
        <is>
          <t>Fäkalienspüle</t>
        </is>
      </c>
      <c r="C112" s="25" t="inlineStr">
        <is>
          <t>XXX</t>
        </is>
      </c>
      <c r="D112" s="39" t="n"/>
      <c r="E112" s="40" t="n"/>
      <c r="F112" s="33" t="n">
        <v>0</v>
      </c>
    </row>
    <row r="113">
      <c r="B113" s="35" t="inlineStr">
        <is>
          <t>Umbaukosten</t>
        </is>
      </c>
      <c r="C113" s="25" t="inlineStr">
        <is>
          <t>XXX</t>
        </is>
      </c>
      <c r="D113" s="39" t="n"/>
      <c r="E113" s="40" t="n"/>
      <c r="F113" s="33" t="n">
        <v>0</v>
      </c>
    </row>
    <row r="114">
      <c r="B114" s="35" t="inlineStr">
        <is>
          <t>IT</t>
        </is>
      </c>
      <c r="C114" s="25" t="inlineStr">
        <is>
          <t>XXX</t>
        </is>
      </c>
      <c r="D114" s="39" t="n"/>
      <c r="E114" s="40" t="n"/>
      <c r="F114" s="33" t="n">
        <v>0</v>
      </c>
    </row>
    <row r="115">
      <c r="B115" s="35" t="inlineStr">
        <is>
          <t>Waschmaschinen</t>
        </is>
      </c>
      <c r="C115" s="25" t="inlineStr">
        <is>
          <t>XXX</t>
        </is>
      </c>
      <c r="D115" s="39" t="n"/>
      <c r="E115" s="40" t="n"/>
      <c r="F115" s="33" t="n">
        <v>0</v>
      </c>
    </row>
    <row r="116">
      <c r="B116" s="35" t="inlineStr">
        <is>
          <t>[Platzhalter]</t>
        </is>
      </c>
      <c r="C116" s="25" t="inlineStr">
        <is>
          <t>XXX</t>
        </is>
      </c>
      <c r="D116" s="39" t="n"/>
      <c r="E116" s="40" t="n"/>
      <c r="F116" s="33" t="n">
        <v>0</v>
      </c>
    </row>
    <row r="117">
      <c r="B117" s="35" t="inlineStr">
        <is>
          <t>[Platzhalter]</t>
        </is>
      </c>
      <c r="C117" s="25" t="inlineStr">
        <is>
          <t>XXX</t>
        </is>
      </c>
      <c r="D117" s="39" t="n"/>
      <c r="E117" s="40" t="n"/>
      <c r="F117" s="33" t="n">
        <v>0</v>
      </c>
    </row>
    <row r="118">
      <c r="B118" s="35" t="inlineStr">
        <is>
          <t>[Platzhalter]</t>
        </is>
      </c>
      <c r="C118" s="25" t="inlineStr">
        <is>
          <t>XXX</t>
        </is>
      </c>
      <c r="D118" s="39" t="n"/>
      <c r="E118" s="40" t="n"/>
      <c r="F118" s="33" t="n">
        <v>0</v>
      </c>
    </row>
    <row r="119" ht="8.25" customHeight="1">
      <c r="B119" s="14" t="n"/>
      <c r="C119" s="15" t="n"/>
      <c r="D119" s="16" t="n"/>
      <c r="E119" s="17" t="n"/>
      <c r="F119" s="17" t="n"/>
    </row>
    <row r="120" customFormat="1" s="1">
      <c r="B120" s="1" t="inlineStr">
        <is>
          <t>Summe</t>
        </is>
      </c>
      <c r="C120" s="18" t="n"/>
      <c r="D120" s="19" t="n"/>
      <c r="E120" s="20" t="n"/>
      <c r="F120" s="20">
        <f>+SUM(F108:F119)</f>
        <v/>
      </c>
    </row>
    <row r="121" ht="6.75" customHeight="1" thickBot="1">
      <c r="B121" s="7" t="n"/>
      <c r="C121" s="8" t="n"/>
      <c r="D121" s="7" t="n"/>
      <c r="E121" s="7" t="n"/>
      <c r="F121" s="7" t="n"/>
    </row>
    <row r="122" ht="6.75" customHeight="1"/>
    <row r="123">
      <c r="B123" s="21" t="inlineStr">
        <is>
          <t>davon:</t>
        </is>
      </c>
    </row>
    <row r="124">
      <c r="B124" s="22" t="inlineStr">
        <is>
          <t>Übernahme Vermieter</t>
        </is>
      </c>
      <c r="C124" s="25" t="inlineStr">
        <is>
          <t>XXX</t>
        </is>
      </c>
      <c r="D124" s="39" t="n"/>
      <c r="E124" s="40" t="n"/>
      <c r="F124" s="33" t="n">
        <v>0</v>
      </c>
    </row>
    <row r="125">
      <c r="B125" s="22" t="inlineStr">
        <is>
          <t>Baukostenzuschuss Mieter</t>
        </is>
      </c>
      <c r="C125" s="25" t="inlineStr">
        <is>
          <t>XXX</t>
        </is>
      </c>
      <c r="D125" s="39" t="n"/>
      <c r="E125" s="40" t="n"/>
      <c r="F125" s="33" t="n">
        <v>0</v>
      </c>
    </row>
    <row r="126" ht="6.75" customHeight="1" thickBot="1">
      <c r="B126" s="7" t="n"/>
      <c r="C126" s="8" t="n"/>
      <c r="D126" s="7" t="n"/>
      <c r="E126" s="7" t="n"/>
      <c r="F126" s="7" t="n"/>
    </row>
    <row r="129">
      <c r="B129" s="23" t="inlineStr">
        <is>
          <t>Ramp-up Kosten</t>
        </is>
      </c>
      <c r="C129" s="23" t="inlineStr">
        <is>
          <t>Anmerkungen</t>
        </is>
      </c>
      <c r="D129" s="24" t="n"/>
      <c r="E129" s="24" t="n"/>
      <c r="F129" s="24" t="n"/>
    </row>
    <row r="130">
      <c r="B130" s="35" t="inlineStr">
        <is>
          <t>Betriebsmittel</t>
        </is>
      </c>
      <c r="C130" s="36" t="inlineStr">
        <is>
          <t>XXX – nicht aus dem Mietvertrag ableitbar, aus internen Unterlagen zu ergänzen</t>
        </is>
      </c>
      <c r="D130" s="37" t="n"/>
      <c r="E130" s="38" t="n"/>
      <c r="F130" s="33" t="n">
        <v>0</v>
      </c>
    </row>
    <row r="131">
      <c r="B131" s="35" t="inlineStr">
        <is>
          <t>Werbung / Marketing</t>
        </is>
      </c>
      <c r="C131" s="25" t="inlineStr">
        <is>
          <t>XXX</t>
        </is>
      </c>
      <c r="D131" s="39" t="n"/>
      <c r="E131" s="40" t="n"/>
      <c r="F131" s="33" t="n">
        <v>0</v>
      </c>
    </row>
    <row r="132">
      <c r="B132" s="35" t="inlineStr">
        <is>
          <t>Personalbeschaffung</t>
        </is>
      </c>
      <c r="C132" s="25" t="inlineStr">
        <is>
          <t>XXX</t>
        </is>
      </c>
      <c r="D132" s="39" t="n"/>
      <c r="E132" s="40" t="n"/>
      <c r="F132" s="33" t="n">
        <v>0</v>
      </c>
    </row>
    <row r="133">
      <c r="B133" s="35" t="inlineStr">
        <is>
          <t>Planungskosten</t>
        </is>
      </c>
      <c r="C133" s="25" t="inlineStr">
        <is>
          <t>XXX</t>
        </is>
      </c>
      <c r="D133" s="39" t="n"/>
      <c r="E133" s="40" t="n"/>
      <c r="F133" s="33" t="n">
        <v>0</v>
      </c>
    </row>
    <row r="134">
      <c r="B134" s="35" t="inlineStr">
        <is>
          <t>Makler</t>
        </is>
      </c>
      <c r="C134" s="25" t="inlineStr">
        <is>
          <t>XXX</t>
        </is>
      </c>
      <c r="D134" s="39" t="n"/>
      <c r="E134" s="40" t="n"/>
      <c r="F134" s="33" t="n">
        <v>0</v>
      </c>
    </row>
    <row r="135">
      <c r="B135" s="35" t="inlineStr">
        <is>
          <t>[Platzhalter]</t>
        </is>
      </c>
      <c r="C135" s="25" t="inlineStr">
        <is>
          <t>XXX</t>
        </is>
      </c>
      <c r="D135" s="39" t="n"/>
      <c r="E135" s="40" t="n"/>
      <c r="F135" s="33" t="n">
        <v>0</v>
      </c>
    </row>
    <row r="136">
      <c r="B136" s="35" t="inlineStr">
        <is>
          <t>[Platzhalter]</t>
        </is>
      </c>
      <c r="C136" s="25" t="inlineStr">
        <is>
          <t>XXX</t>
        </is>
      </c>
      <c r="D136" s="39" t="n"/>
      <c r="E136" s="40" t="n"/>
      <c r="F136" s="33" t="n">
        <v>0</v>
      </c>
    </row>
    <row r="137">
      <c r="B137" s="35" t="inlineStr">
        <is>
          <t>[Platzhalter]</t>
        </is>
      </c>
      <c r="C137" s="25" t="inlineStr">
        <is>
          <t>XXX</t>
        </is>
      </c>
      <c r="D137" s="39" t="n"/>
      <c r="E137" s="40" t="n"/>
      <c r="F137" s="33" t="n">
        <v>0</v>
      </c>
    </row>
    <row r="138">
      <c r="B138" s="35" t="inlineStr">
        <is>
          <t>[Platzhalter]</t>
        </is>
      </c>
      <c r="C138" s="25" t="inlineStr">
        <is>
          <t>XXX</t>
        </is>
      </c>
      <c r="D138" s="39" t="n"/>
      <c r="E138" s="40" t="n"/>
      <c r="F138" s="33" t="n">
        <v>0</v>
      </c>
    </row>
    <row r="139">
      <c r="B139" s="35" t="inlineStr">
        <is>
          <t>[Platzhalter]</t>
        </is>
      </c>
      <c r="C139" s="25" t="inlineStr">
        <is>
          <t>XXX</t>
        </is>
      </c>
      <c r="D139" s="39" t="n"/>
      <c r="E139" s="40" t="n"/>
      <c r="F139" s="33" t="n">
        <v>0</v>
      </c>
    </row>
    <row r="140" ht="8.25" customHeight="1">
      <c r="B140" s="14" t="n"/>
      <c r="C140" s="15" t="n"/>
      <c r="D140" s="16" t="n"/>
      <c r="E140" s="17" t="n"/>
      <c r="F140" s="17" t="n"/>
    </row>
    <row r="141" customFormat="1" s="1">
      <c r="B141" s="1" t="inlineStr">
        <is>
          <t>Summe</t>
        </is>
      </c>
      <c r="C141" s="18" t="n"/>
      <c r="D141" s="19" t="n"/>
      <c r="E141" s="20" t="n"/>
      <c r="F141" s="20">
        <f>+SUM(F130:F140)</f>
        <v/>
      </c>
    </row>
    <row r="142" ht="6.75" customHeight="1" thickBot="1">
      <c r="B142" s="7" t="n"/>
      <c r="C142" s="8" t="n"/>
      <c r="D142" s="7" t="n"/>
      <c r="E142" s="7" t="n"/>
      <c r="F142" s="7" t="n"/>
    </row>
  </sheetData>
  <mergeCells count="1">
    <mergeCell ref="C22:F22"/>
  </mergeCells>
  <pageMargins left="0.5118110236220472" right="0.5118110236220472" top="0.7874015748031497" bottom="0.7874015748031497" header="0.3149606299212598" footer="0.3149606299212598"/>
  <pageSetup orientation="portrait" paperSize="9" scale="9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Morscheck, Desiree</dc:creator>
  <dcterms:created xsi:type="dcterms:W3CDTF">2026-03-11T11:03:37Z</dcterms:created>
  <dcterms:modified xsi:type="dcterms:W3CDTF">2026-08-18T08:18:34Z</dcterms:modified>
  <cp:lastModifiedBy>Neal, Jeffrey</cp:lastModifiedBy>
  <cp:lastPrinted>2026-04-29T12:17:51Z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0x010100C03FC3E19674CE4E8117F225B4041376</vt:lpwstr>
  </property>
</Properties>
</file>