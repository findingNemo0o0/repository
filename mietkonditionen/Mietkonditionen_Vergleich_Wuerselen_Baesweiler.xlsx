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2" borderId="22" applyAlignment="1" pivotButton="0" quotePrefix="0" xfId="0">
      <alignment vertical="center"/>
    </xf>
    <xf numFmtId="0" fontId="2" fillId="4" borderId="24" applyAlignment="1" pivotButton="0" quotePrefix="0" xfId="0">
      <alignment horizontal="left" vertical="center" wrapText="1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5"/>
  <sheetViews>
    <sheetView showGridLines="0" view="pageBreakPreview" zoomScale="124" zoomScaleNormal="104" zoomScaleSheetLayoutView="220" workbookViewId="0">
      <pane xSplit="2" ySplit="6" topLeftCell="C25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9"/>
    <col width="11.453125" customWidth="1" style="2" min="10" max="16384"/>
  </cols>
  <sheetData>
    <row r="1"/>
    <row r="2">
      <c r="B2" s="1" t="inlineStr">
        <is>
          <t>Übersicht Mietvertragskonditionen</t>
        </is>
      </c>
    </row>
    <row r="3"/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n"/>
    </row>
    <row r="5"/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n"/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n"/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n"/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443 €/Mon.; Statik 1. OG 600 €/Mon.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BKZ; faktisch 600 €/Mon. für Statik</t>
        </is>
      </c>
      <c r="D33" s="25" t="inlineStr">
        <is>
          <t>kein BKZ; Inventar gestellt</t>
        </is>
      </c>
      <c r="E33" s="48" t="n"/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n"/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n"/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n"/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VPI; 100% der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n"/>
      <c r="F41" s="26" t="n"/>
    </row>
    <row r="42" ht="6.75" customHeight="1" thickBot="1">
      <c r="B42" s="7" t="n"/>
      <c r="C42" s="8" t="n"/>
      <c r="D42" s="7" t="n"/>
      <c r="E42" s="7" t="n"/>
      <c r="F42" s="7" t="n"/>
    </row>
    <row r="43"/>
    <row r="44"/>
    <row r="45"/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44"/>
  <sheetViews>
    <sheetView showGridLines="0" tabSelected="1" workbookViewId="0">
      <selection activeCell="L138" sqref="L138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42.1796875" customWidth="1" style="2" min="3" max="3"/>
    <col width="12.81640625" customWidth="1" style="2" min="4" max="6"/>
    <col width="35" customWidth="1" style="51" min="7" max="7"/>
    <col width="12.81640625" customWidth="1" style="2" min="8" max="8"/>
    <col width="11.453125" customWidth="1" style="2" min="9" max="9"/>
    <col width="11.453125" customWidth="1" style="2" min="10" max="16384"/>
  </cols>
  <sheetData>
    <row r="1"/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73" t="inlineStr">
        <is>
          <t>Würselen (Target)</t>
        </is>
      </c>
      <c r="D4" s="74" t="n"/>
      <c r="E4" s="74" t="n"/>
      <c r="F4" s="75" t="n"/>
      <c r="G4" s="76" t="inlineStr">
        <is>
          <t>Baesweiler (Bestand)</t>
        </is>
      </c>
      <c r="H4" s="74" t="n"/>
      <c r="I4" s="74" t="n"/>
      <c r="J4" s="75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>
      <c r="B14" s="6" t="inlineStr">
        <is>
          <t>Verlängerungsoptionen</t>
        </is>
      </c>
      <c r="C14" s="25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54" t="inlineStr">
        <is>
          <t>2x 5 Jahre; 
nur auf aktive Ausübung, keine Automatik</t>
        </is>
      </c>
      <c r="H14" s="26" t="n"/>
      <c r="I14" s="26" t="n"/>
      <c r="J14" s="26" t="n"/>
      <c r="L14" s="47" t="n"/>
    </row>
    <row r="15">
      <c r="B15" s="6" t="inlineStr">
        <is>
          <t>Mietbeginn</t>
        </is>
      </c>
      <c r="C15" s="25" t="inlineStr">
        <is>
          <t>bei Übergabe</t>
        </is>
      </c>
      <c r="D15" s="26" t="n"/>
      <c r="E15" s="26" t="n"/>
      <c r="F15" s="26" t="n"/>
      <c r="G15" s="54" t="inlineStr">
        <is>
          <t>Monatserster nach Vollzug des Kaufvertrags</t>
        </is>
      </c>
      <c r="H15" s="26" t="n"/>
      <c r="I15" s="26" t="n"/>
      <c r="J15" s="26" t="n"/>
      <c r="L15" s="47" t="n"/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54" t="inlineStr">
        <is>
          <t>Anspruch nach Sicherheitsleistung; keine Vertragsstrafe</t>
        </is>
      </c>
      <c r="H16" s="26" t="n"/>
      <c r="I16" s="26" t="n"/>
      <c r="J16" s="26" t="n"/>
      <c r="L16" s="47" t="n"/>
    </row>
    <row r="17">
      <c r="B17" s="6" t="inlineStr">
        <is>
          <t>Aufschiebende Bedingung / Rücktrittsrecht</t>
        </is>
      </c>
      <c r="C17" s="71" t="inlineStr">
        <is>
          <t>außerordentliche Kündigung bei &gt;3 Monate Verzug</t>
        </is>
      </c>
      <c r="D17" s="26" t="n"/>
      <c r="E17" s="26" t="n"/>
      <c r="F17" s="26" t="n"/>
      <c r="G17" s="54" t="inlineStr">
        <is>
          <t>kein Rücktrittsrecht</t>
        </is>
      </c>
      <c r="H17" s="26" t="n"/>
      <c r="I17" s="26" t="n"/>
      <c r="J17" s="26" t="n"/>
      <c r="L17" s="47" t="n"/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54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54" t="inlineStr">
        <is>
          <t>keine; Miete 10 Jahre fest</t>
        </is>
      </c>
      <c r="H19" s="26" t="n"/>
      <c r="I19" s="26" t="n"/>
      <c r="J19" s="26" t="n"/>
      <c r="L19" s="47" t="n"/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  <c r="L20" s="47" t="n"/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54" t="inlineStr">
        <is>
          <t>Ja; zustimmungsfrei an Konzern und Bewohner</t>
        </is>
      </c>
      <c r="H21" s="26" t="n"/>
      <c r="I21" s="26" t="n"/>
      <c r="J21" s="26" t="n"/>
      <c r="L21" s="47" t="n"/>
    </row>
    <row r="22">
      <c r="B22" s="6" t="inlineStr">
        <is>
          <t>Mietsicherheit</t>
        </is>
      </c>
      <c r="C22" s="71" t="inlineStr">
        <is>
          <t>Bankbürgschaft: 3 Bruttomonatsmieten.</t>
        </is>
      </c>
      <c r="D22" s="72" t="n"/>
      <c r="E22" s="72" t="n"/>
      <c r="F22" s="72" t="n"/>
      <c r="G22" s="77" t="inlineStr">
        <is>
          <t>Patronatserklärung: 1 Jahreskaltmiete.</t>
        </is>
      </c>
      <c r="H22" s="72" t="n"/>
      <c r="I22" s="72" t="n"/>
      <c r="J22" s="72" t="n"/>
      <c r="L22" s="47" t="n"/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54" t="inlineStr">
        <is>
          <t>nicht geregelt</t>
        </is>
      </c>
      <c r="H23" s="26" t="n"/>
      <c r="I23" s="26" t="n"/>
      <c r="J23" s="26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54" t="inlineStr">
        <is>
          <t>Ja, bei Nutzungsuntersagung</t>
        </is>
      </c>
      <c r="H24" s="26" t="n"/>
      <c r="I24" s="26" t="n"/>
      <c r="J24" s="26" t="n"/>
      <c r="L24" s="47" t="n"/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54" t="inlineStr">
        <is>
          <t>Dach und Fach beim Vermieter; Fläche beim Mieter</t>
        </is>
      </c>
      <c r="H25" s="26" t="n"/>
      <c r="I25" s="26" t="n"/>
      <c r="J25" s="26" t="n"/>
      <c r="L25" s="47" t="n"/>
    </row>
    <row r="26">
      <c r="B26" s="6" t="inlineStr">
        <is>
          <t>Besonderheiten / Sonstiges</t>
        </is>
      </c>
      <c r="C26" s="25" t="inlineStr">
        <is>
          <t>umsatzsteuerfrei; Nebenkosten zzgl. USt; Reinigung Treppenhaus/Aufzug 2x wöchentlich durch Mieter</t>
        </is>
      </c>
      <c r="D26" s="26" t="n"/>
      <c r="E26" s="26" t="n"/>
      <c r="F26" s="26" t="n"/>
      <c r="G26" s="54" t="inlineStr">
        <is>
          <t>Schlussabnahme fehlt; Inventar vermieterseitig gestellt; Umstellung auf gewerbliche Wärmelieferung möglich; Zustimmungsfiktion nach 4 Wochen</t>
        </is>
      </c>
      <c r="H26" s="26" t="n"/>
      <c r="I26" s="26" t="n"/>
      <c r="J26" s="26" t="n"/>
      <c r="L26" s="47" t="n"/>
    </row>
    <row r="27" ht="6.75" customHeight="1" thickBot="1">
      <c r="B27" s="7" t="n"/>
      <c r="C27" s="8" t="n"/>
      <c r="D27" s="7" t="n"/>
      <c r="E27" s="7" t="n"/>
      <c r="F27" s="7" t="n"/>
      <c r="G27" s="55" t="n"/>
      <c r="H27" s="7" t="n"/>
      <c r="I27" s="7" t="n"/>
      <c r="J27" s="7" t="n"/>
    </row>
    <row r="28">
      <c r="G28" s="52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56" t="n"/>
      <c r="H29" s="9" t="n"/>
      <c r="I29" s="9" t="n"/>
      <c r="J29" s="9" t="n"/>
    </row>
    <row r="30">
      <c r="B30" s="6" t="inlineStr">
        <is>
          <t>Miete/m² (Neubau) - kein BKZ</t>
        </is>
      </c>
      <c r="C30" s="78" t="n">
        <v>20</v>
      </c>
      <c r="D30" s="26" t="n"/>
      <c r="E30" s="26" t="n"/>
      <c r="F30" s="26" t="n"/>
      <c r="G30" s="79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78" t="n">
        <v>20</v>
      </c>
      <c r="D31" s="26" t="n"/>
      <c r="E31" s="26" t="n"/>
      <c r="F31" s="26" t="n"/>
      <c r="G31" s="79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78" t="n">
        <v>3</v>
      </c>
      <c r="D32" s="26" t="n"/>
      <c r="E32" s="26" t="n"/>
      <c r="F32" s="26" t="n"/>
      <c r="G32" s="79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80" t="inlineStr">
        <is>
          <t>50m²</t>
        </is>
      </c>
      <c r="D33" s="81" t="inlineStr">
        <is>
          <t xml:space="preserve"> (d.h. 6er WG: 300m²; 12er WG: 600m²)</t>
        </is>
      </c>
      <c r="E33" s="26" t="n"/>
      <c r="F33" s="26" t="n"/>
      <c r="G33" s="82" t="inlineStr">
        <is>
          <t>50m²</t>
        </is>
      </c>
      <c r="H33" s="81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80" t="n">
        <v>1000</v>
      </c>
      <c r="D34" s="26" t="n"/>
      <c r="E34" s="26" t="n"/>
      <c r="F34" s="26" t="n"/>
      <c r="G34" s="82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80">
        <f>+C34</f>
        <v/>
      </c>
      <c r="D35" s="26" t="n"/>
      <c r="E35" s="26" t="n"/>
      <c r="F35" s="26" t="n"/>
      <c r="G35" s="82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80" t="n">
        <v>0</v>
      </c>
      <c r="D36" s="81" t="n"/>
      <c r="E36" s="26" t="n"/>
      <c r="F36" s="26" t="n"/>
      <c r="G36" s="82" t="n">
        <v>0</v>
      </c>
      <c r="H36" s="81" t="n"/>
      <c r="I36" s="26" t="n"/>
      <c r="J36" s="26" t="n"/>
    </row>
    <row r="37">
      <c r="B37" s="6" t="inlineStr">
        <is>
          <t>Capex pro Bett (Möbel, Ausstattung, etc.)</t>
        </is>
      </c>
      <c r="C37" s="80" t="n">
        <v>30000</v>
      </c>
      <c r="D37" s="26" t="n"/>
      <c r="E37" s="26" t="n"/>
      <c r="F37" s="26" t="n"/>
      <c r="G37" s="82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54" t="inlineStr">
        <is>
          <t>TBD</t>
        </is>
      </c>
      <c r="H38" s="26" t="n"/>
      <c r="I38" s="26" t="n"/>
      <c r="J38" s="26" t="n"/>
    </row>
    <row r="39">
      <c r="G39" s="52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56" t="n"/>
      <c r="H40" s="9" t="n"/>
      <c r="I40" s="9" t="n"/>
      <c r="J40" s="9" t="n"/>
    </row>
    <row r="41">
      <c r="B41" s="6" t="inlineStr">
        <is>
          <t>Miete/m² (Bestand) - kein BKZ</t>
        </is>
      </c>
      <c r="C41" s="78" t="n">
        <v>20</v>
      </c>
      <c r="D41" s="26" t="n"/>
      <c r="E41" s="26" t="n"/>
      <c r="F41" s="26" t="n"/>
      <c r="G41" s="79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78" t="n">
        <v>25</v>
      </c>
      <c r="D42" s="26" t="n"/>
      <c r="E42" s="26" t="n"/>
      <c r="F42" s="26" t="n"/>
      <c r="G42" s="79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78" t="n">
        <v>3</v>
      </c>
      <c r="D43" s="26" t="n"/>
      <c r="E43" s="26" t="n"/>
      <c r="F43" s="26" t="n"/>
      <c r="G43" s="79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80" t="inlineStr">
        <is>
          <t>50m²</t>
        </is>
      </c>
      <c r="D44" s="81" t="inlineStr">
        <is>
          <t xml:space="preserve"> (d.h. 6er WG: 300m²; 12er WG: 600m²)</t>
        </is>
      </c>
      <c r="E44" s="26" t="n"/>
      <c r="F44" s="26" t="n"/>
      <c r="G44" s="82" t="inlineStr">
        <is>
          <t>50m²</t>
        </is>
      </c>
      <c r="H44" s="81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80" t="n">
        <v>1000</v>
      </c>
      <c r="D45" s="26" t="n"/>
      <c r="E45" s="26" t="n"/>
      <c r="F45" s="26" t="n"/>
      <c r="G45" s="82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80" t="n">
        <v>1250</v>
      </c>
      <c r="D46" s="26" t="n"/>
      <c r="E46" s="26" t="n"/>
      <c r="F46" s="26" t="n"/>
      <c r="G46" s="82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80" t="n">
        <v>40000</v>
      </c>
      <c r="D47" s="81" t="inlineStr">
        <is>
          <t>(d.h. 6er WG: 180.000 €, 12er WG: 360.000 €)</t>
        </is>
      </c>
      <c r="E47" s="26" t="n"/>
      <c r="F47" s="26" t="n"/>
      <c r="G47" s="82" t="n">
        <v>40000</v>
      </c>
      <c r="H47" s="81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80" t="n">
        <v>30000</v>
      </c>
      <c r="D48" s="26" t="n"/>
      <c r="E48" s="26" t="n"/>
      <c r="F48" s="26" t="n"/>
      <c r="G48" s="82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59" t="n">
        <v>0</v>
      </c>
      <c r="H49" s="26" t="n"/>
      <c r="I49" s="26" t="n"/>
      <c r="J49" s="26" t="n"/>
    </row>
    <row r="50">
      <c r="G50" s="52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56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60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59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59" t="inlineStr">
        <is>
          <t>XXX</t>
        </is>
      </c>
      <c r="H54" s="26" t="n"/>
      <c r="I54" s="26" t="n"/>
      <c r="J54" s="26" t="n"/>
      <c r="L54" s="47" t="n"/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59" t="inlineStr">
        <is>
          <t>18 Patientenzimmer</t>
        </is>
      </c>
      <c r="H55" s="26" t="n"/>
      <c r="I55" s="26" t="n"/>
      <c r="J55" s="26" t="n"/>
      <c r="L55" s="47" t="n"/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61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62" t="inlineStr">
        <is>
          <t>XXX</t>
        </is>
      </c>
      <c r="H57" s="26" t="n"/>
      <c r="I57" s="26" t="n"/>
      <c r="J57" s="26" t="n"/>
    </row>
    <row r="58">
      <c r="G58" s="52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63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64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n"/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65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66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65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65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66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67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68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55" t="n"/>
      <c r="H68" s="7" t="n"/>
      <c r="I68" s="7" t="n"/>
      <c r="J68" s="7" t="n"/>
    </row>
    <row r="69">
      <c r="G69" s="52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60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59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59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59" t="n"/>
      <c r="H73" s="26" t="n"/>
      <c r="I73" s="26" t="n"/>
      <c r="J73" s="26" t="n"/>
      <c r="L73" s="47" t="n"/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61" t="n"/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62" t="n"/>
      <c r="H75" s="26" t="n"/>
      <c r="I75" s="26" t="n"/>
      <c r="J75" s="26" t="n"/>
    </row>
    <row r="76">
      <c r="G76" s="52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63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64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65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66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65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65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66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67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68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55" t="n"/>
      <c r="H86" s="7" t="n"/>
      <c r="I86" s="7" t="n"/>
      <c r="J86" s="7" t="n"/>
    </row>
    <row r="87">
      <c r="G87" s="52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60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59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59" t="n"/>
      <c r="H90" s="26" t="n"/>
      <c r="I90" s="26" t="n"/>
      <c r="J90" s="26" t="n"/>
      <c r="L90" s="47" t="n"/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59" t="n"/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61" t="n"/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62" t="n"/>
      <c r="H93" s="26" t="n"/>
      <c r="I93" s="26" t="n"/>
      <c r="J93" s="26" t="n"/>
    </row>
    <row r="94">
      <c r="G94" s="52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63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64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65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66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65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65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66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67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68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55" t="n"/>
      <c r="H104" s="7" t="n"/>
      <c r="I104" s="7" t="n"/>
      <c r="J104" s="7" t="n"/>
    </row>
    <row r="105">
      <c r="G105" s="52" t="n"/>
    </row>
    <row r="106">
      <c r="G106" s="52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69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Mieter</t>
        </is>
      </c>
      <c r="D108" s="37" t="n"/>
      <c r="E108" s="38" t="n"/>
      <c r="F108" s="50" t="n">
        <v>0</v>
      </c>
      <c r="G108" s="70" t="inlineStr">
        <is>
          <t>Pflegebetten im Inventar</t>
        </is>
      </c>
      <c r="H108" s="37" t="n"/>
      <c r="I108" s="38" t="n"/>
      <c r="J108" s="33" t="n">
        <v>0</v>
      </c>
      <c r="L108" s="47" t="n"/>
    </row>
    <row r="109">
      <c r="B109" s="35" t="inlineStr">
        <is>
          <t>Gemeinschaftsbereich</t>
        </is>
      </c>
      <c r="C109" s="25" t="inlineStr">
        <is>
          <t>Mieter</t>
        </is>
      </c>
      <c r="D109" s="39" t="n"/>
      <c r="E109" s="40" t="n"/>
      <c r="F109" s="50" t="n">
        <v>0</v>
      </c>
      <c r="G109" s="54" t="inlineStr">
        <is>
          <t>Einbauküchen, Vorhänge im Inventar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Mieter</t>
        </is>
      </c>
      <c r="D110" s="39" t="n"/>
      <c r="E110" s="40" t="n"/>
      <c r="F110" s="50" t="n">
        <v>0</v>
      </c>
      <c r="G110" s="54" t="inlineStr">
        <is>
          <t>vorhanden; Unterhaltung als Nebenkosten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Mieter; Pavillon nur vorgerüstet</t>
        </is>
      </c>
      <c r="D111" s="39" t="n"/>
      <c r="E111" s="40" t="n"/>
      <c r="F111" s="50" t="n">
        <v>0</v>
      </c>
      <c r="G111" s="54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0" t="n">
        <v>0</v>
      </c>
      <c r="G112" s="54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Vermieter baut aus; Sonderwünsche zu Lasten Mieter</t>
        </is>
      </c>
      <c r="D113" s="39" t="n"/>
      <c r="E113" s="40" t="n"/>
      <c r="F113" s="50" t="n">
        <v>0</v>
      </c>
      <c r="G113" s="54" t="inlineStr">
        <is>
          <t>kein Umbau - laufender Betrieb übernommen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Mieter</t>
        </is>
      </c>
      <c r="D114" s="39" t="n"/>
      <c r="E114" s="40" t="n"/>
      <c r="F114" s="50" t="n">
        <v>0</v>
      </c>
      <c r="G114" s="54" t="inlineStr">
        <is>
          <t>Mieter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0" t="n">
        <v>0</v>
      </c>
      <c r="G115" s="54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0" t="n">
        <v>0</v>
      </c>
      <c r="G116" s="54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0" t="n">
        <v>0</v>
      </c>
      <c r="G117" s="54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0" t="n">
        <v>0</v>
      </c>
      <c r="G118" s="54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67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68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55" t="n"/>
      <c r="H121" s="7" t="n"/>
      <c r="I121" s="7" t="n"/>
      <c r="J121" s="7" t="n"/>
    </row>
    <row r="122" ht="6.75" customHeight="1">
      <c r="G122" s="52" t="n"/>
    </row>
    <row r="123">
      <c r="B123" s="21" t="inlineStr">
        <is>
          <t>davon:</t>
        </is>
      </c>
      <c r="G123" s="52" t="n"/>
    </row>
    <row r="124">
      <c r="B124" s="22" t="inlineStr">
        <is>
          <t>Übernahme Vermieter</t>
        </is>
      </c>
      <c r="C124" s="25" t="inlineStr">
        <is>
          <t>Ausbau nach Raumbuch (liegt nicht vor)</t>
        </is>
      </c>
      <c r="D124" s="39" t="n"/>
      <c r="E124" s="40" t="n"/>
      <c r="F124" s="50" t="n">
        <v>0</v>
      </c>
      <c r="G124" s="54" t="inlineStr">
        <is>
          <t>Inventar durch Vermieterseite gestellt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600€/Monat für Statik, 1. OG</t>
        </is>
      </c>
      <c r="D125" s="39" t="n"/>
      <c r="E125" s="40" t="n"/>
      <c r="F125" s="50" t="n">
        <v>0</v>
      </c>
      <c r="G125" s="54" t="inlineStr">
        <is>
          <t>Kein BKZ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55" t="n"/>
      <c r="H126" s="7" t="n"/>
      <c r="I126" s="7" t="n"/>
      <c r="J126" s="7" t="n"/>
    </row>
    <row r="127">
      <c r="G127" s="52" t="n"/>
    </row>
    <row r="128">
      <c r="G128" s="52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69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0" t="n">
        <v>0</v>
      </c>
      <c r="G130" s="70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0" t="n">
        <v>0</v>
      </c>
      <c r="G131" s="54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0" t="n">
        <v>0</v>
      </c>
      <c r="G132" s="54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0" t="n">
        <v>0</v>
      </c>
      <c r="G133" s="54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0" t="n">
        <v>0</v>
      </c>
      <c r="G134" s="54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0" t="n">
        <v>0</v>
      </c>
      <c r="G135" s="54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0" t="n">
        <v>0</v>
      </c>
      <c r="G136" s="54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0" t="n">
        <v>0</v>
      </c>
      <c r="G137" s="54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0" t="n">
        <v>0</v>
      </c>
      <c r="G138" s="54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0" t="n">
        <v>0</v>
      </c>
      <c r="G139" s="54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67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68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55" t="n"/>
      <c r="H142" s="7" t="n"/>
      <c r="I142" s="7" t="n"/>
      <c r="J142" s="7" t="n"/>
    </row>
    <row r="143"/>
    <row r="144"/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2026-08-18T11:09:20Z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