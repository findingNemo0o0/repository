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ort Version" sheetId="1" state="visible" r:id="rId1"/>
    <sheet name="Long Version – Würselen" sheetId="2" state="visible" r:id="rId2"/>
    <sheet name="Long Version – Baesweiler" sheetId="3" state="visible" r:id="rId3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167" fontId="2" fillId="4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 und 3. OG sowie 1. OG (komplett); zzgl. 59 qm im 4. OG; Keller</t>
        </is>
      </c>
      <c r="D14" s="25" t="inlineStr">
        <is>
          <t>Im Vertrag nicht spezifiziert; Abstellräume im KG</t>
        </is>
      </c>
      <c r="E14" s="48" t="inlineStr">
        <is>
          <t>Würselen: die 59 qm liegen laut 1. Nachtrag im 4. OG (alternativ 1. OG) – siehe Anmerkung zur Fläche. Baesweiler: Etagenaufteilung im Vertrag nicht geregelt; die EG-Wohnung ist nicht Mietgegenstand (§9.3).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Nebenflächen enthalten; separate Bürofläche nicht ausgewiesen</t>
        </is>
      </c>
      <c r="D17" s="25" t="inlineStr">
        <is>
          <t>Ja (Büro-, Aufenthalts- und Schulungsraum)</t>
        </is>
      </c>
      <c r="E17" s="48" t="inlineStr">
        <is>
          <t>Würselen: der Vertrag spricht von "Wohnheim mit Intensivpflege, Nebenflächen" –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88,65 qm à 5,00 € = 443,25 €/Mon.; statische Mehraufwendungen 1. OG 600,00 €/Mon.</t>
        </is>
      </c>
      <c r="D31" s="25" t="inlineStr">
        <is>
          <t>Strom über eigenen Liefervertrag; Abnahmepflicht PV-Strom; Inventar im Mietzins enthalten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 ausgewiesen; Ausbau durch Vermieter gem. Raumbuch (Anlage 1.4). Faktisch aber 600 €/Monat für statische Mehraufwendungen im 1. OG.</t>
        </is>
      </c>
      <c r="D33" s="25" t="inlineStr">
        <is>
          <t>Kein BKZ; Inventar (Einbauküchen, Pflegebetten, Vorhänge) vermieterseitig gestellt (§1.2)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 – bestätigte Übergaben: 15.04.2021 (2./3. OG, 59 qm, 9 Stellplätze), 15.04.2022 (Keller Nr. 09, 2 Stellplätze). Nur vereinbarte Starttermine ohne Übergabebestätigung: 15.04.2023 (Keller 70 qm) und 15.10.2023 (1. OG, 3 Stellplätze; ausdrücklich nur "voraussichtlich"). ACHTUNG: Die hier angesetzte Gesamtmiete von 19.376,87 € gilt erst ab Übergabe des 1. OG – ohne diese liegt sie bei 12.991,75 €. Übergabeprotokoll beim Target anfordern. Laufzeitbeginn 01.05.2021 (§5.2).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 (bis 30.04.2031)</t>
        </is>
      </c>
      <c r="D38" s="25" t="inlineStr">
        <is>
          <t>5 Jahre Kündigungsausschluss / Miete 10 Jahre fest</t>
        </is>
      </c>
      <c r="E38" s="48" t="inlineStr">
        <is>
          <t>Würselen: §5.2 rechnet ab dem auf die Übergabe folgenden Monatsersten (01.05.2021) → 30.04.2031; der 3. Nachtrag formuliert dagegen "ab Übergabe am 15.4.2021 für 10 Jahre" → 14.04.2031. Baesweiler: Widerspruch – §2.2 schließt die Kündigung für die ersten 5 Mietjahre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 (automatisch, Kündigung 12 Mon. vorher)</t>
        </is>
      </c>
      <c r="D39" s="25" t="inlineStr">
        <is>
          <t>2x 5 Jahre (Ausübung 6 Mon. vorher)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 (Basis 2010=100), Schwelle &gt;5 %, 100 % Weitergabe, erstmals ab 15.04.2025, keine Senkung</t>
        </is>
      </c>
      <c r="D40" s="25" t="inlineStr">
        <is>
          <t>Keine – Miete für 10 Jahre fest (§4.1)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3 monatliche Gesamtzahlungen (Miete inkl. NK-VZ); rechnerisch 58.130,61 €</t>
        </is>
      </c>
      <c r="D41" s="25" t="inlineStr">
        <is>
          <t>Patronatserklärung opseo Holding B.V., 1 Jahreskaltmiete = 102.000 €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42"/>
  <sheetViews>
    <sheetView showGridLines="0" tabSelected="1" topLeftCell="A3" workbookViewId="0">
      <selection activeCell="C16" sqref="C16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89.8164062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t="inlineStr">
        <is>
          <t>Würselen (Target)</t>
        </is>
      </c>
    </row>
    <row r="6">
      <c r="B6" s="4" t="inlineStr">
        <is>
          <t>Eckdaten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 – Baujahr in keinem der vier Dokumente genannt (Werkplanung 2019)</t>
        </is>
      </c>
      <c r="D11" s="26" t="n"/>
      <c r="E11" s="26" t="n"/>
      <c r="F11" s="26" t="n"/>
    </row>
    <row r="12">
      <c r="B12" s="6" t="inlineStr">
        <is>
          <t>Mietzweck</t>
        </is>
      </c>
      <c r="C12" s="25" t="inlineStr">
        <is>
          <t>Wohnheim mit Intensivpflege ; Untervermietung an Patienten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10 Jahre ab Übergabe 15.04.2021, Fristbeginn 01.05.2021 – Ende 30.04.2031</t>
        </is>
      </c>
      <c r="D13" s="26" t="n"/>
      <c r="E13" s="26" t="n"/>
      <c r="F13" s="26" t="n"/>
    </row>
    <row r="14">
      <c r="B14" s="6" t="inlineStr">
        <is>
          <t>Verlängerungsoptionen</t>
        </is>
      </c>
      <c r="C14" s="25" t="inlineStr">
        <is>
          <t>2x 5 Jahre; Verlängerung tritt automatisch ein, sofern der Mieter nicht 12 Monate vor Ablauf kündigt</t>
        </is>
      </c>
      <c r="D14" s="26" t="n"/>
      <c r="E14" s="26" t="n"/>
      <c r="F14" s="26" t="n"/>
    </row>
    <row r="15">
      <c r="B15" s="6" t="inlineStr">
        <is>
          <t>Mietbeginn</t>
        </is>
      </c>
      <c r="C15" s="25" t="inlineStr">
        <is>
          <t>Bestätigte Übergaben: 15.04.2021 Flächen 2./3. OG + 59 qm 4. OG + 6 Außen- und 3 TG-Stellplätze; 15.04.2022 Keller Nr. 09 + 2 Außenstellplätze (beide im 3. Nachtrag Ziff. 2 ausdrücklich bestätigt). Nur vereinbarte Starttermine, Übergabe in den Unterlagen NICHT bestätigt: 15.04.2023 Keller 70 qm; 15.10.2023 komplettes 1. OG + 3 Außenstellplätze – für das 1. OG ausdrücklich nur "voraussichtlich", die Miete ist erst "ab Übergabe" geschuldet und Verzögerungen durch die statischen Zusatzmaßnahmen sind vorbehalten (3. Nachtrag Ziff. 3). Das in Ziff. 5 vereinbarte Übergabeprotokoll liegt nicht vor.</t>
        </is>
      </c>
      <c r="D15" s="26" t="n"/>
      <c r="E15" s="26" t="n"/>
      <c r="F15" s="26" t="n"/>
    </row>
    <row r="16">
      <c r="B16" s="6" t="inlineStr">
        <is>
          <t>Übergabezeitpunkt</t>
        </is>
      </c>
      <c r="C16" s="29" t="n">
        <v>43922</v>
      </c>
      <c r="D16" s="26" t="n"/>
      <c r="E16" s="26" t="n"/>
      <c r="F16" s="26" t="n"/>
    </row>
    <row r="17" ht="29" customHeight="1">
      <c r="B17" s="6" t="inlineStr">
        <is>
          <t>Aufschiebende Bedingung / Rücktrittsrecht</t>
        </is>
      </c>
      <c r="C17" s="50" t="inlineStr">
        <is>
          <t>Schadensersatz bei Verzug max. 200 €/Kalendertag, gedeckelt auf 3 Nettomonatsmieten (§3.5);
 außerordentliche Kündigung bei Verzug &gt;3 Monate nach Nachfrist (§3.6)</t>
        </is>
      </c>
      <c r="D17" s="26" t="n"/>
      <c r="E17" s="26" t="n"/>
      <c r="F17" s="26" t="n"/>
    </row>
    <row r="18">
      <c r="B18" s="6" t="inlineStr">
        <is>
          <t>Mietfreie Zeit</t>
        </is>
      </c>
      <c r="C18" s="25" t="inlineStr">
        <is>
          <t>Keine mietfreie Zeit. Incentive stattdessen über den Mietpreis: Nettokaltmiete der OG-Flächen im 1. und 2. Mietjahr auf 11,50 €/qm reduziert statt 12,50 €/qm (§7.2 i.d.F. 1. Nachtrag) – seit 14.04.2023 ausgelaufen.</t>
        </is>
      </c>
      <c r="D18" s="26" t="n"/>
      <c r="E18" s="26" t="n"/>
      <c r="F18" s="26" t="n"/>
    </row>
    <row r="19">
      <c r="B19" s="6" t="inlineStr">
        <is>
          <t>Wertsicherung (VPI)</t>
        </is>
      </c>
      <c r="C19" s="25" t="inlineStr">
        <is>
          <t>VPI Deutschland, Basis 2010 = 100; bei Veränderung &gt;5 % Anpassung im vollen prozentualen Verhältnis (100 % Weitergabe); erstmals nach Ablauf des 4. Mietjahres, also ab 15.04.2025; Anpassung nach unten ausgeschlossen (§10, 3. Nachtrag Ziff. 10)</t>
        </is>
      </c>
      <c r="D19" s="26" t="n"/>
      <c r="E19" s="26" t="n"/>
      <c r="F19" s="26" t="n"/>
    </row>
    <row r="20">
      <c r="B20" s="6" t="inlineStr">
        <is>
          <t>Rückbauverpflichtung Mieter</t>
        </is>
      </c>
      <c r="C20" s="25" t="inlineStr">
        <is>
          <t>Ja – Entfernung eingebrachter Einrichtungen, Rückbau aller Ein-/Umbauten und Wiederherstellung des ursprünglichen Zustands (§18.1); Trockenbauwände und Zusatzanschlüsse müssen nicht entfernt werden (§2.3.4)</t>
        </is>
      </c>
      <c r="D20" s="26" t="n"/>
      <c r="E20" s="26" t="n"/>
      <c r="F20" s="26" t="n"/>
    </row>
    <row r="21">
      <c r="B21" s="6" t="inlineStr">
        <is>
          <t>Untervermietung</t>
        </is>
      </c>
      <c r="C21" s="25" t="inlineStr">
        <is>
          <t>Ja – generell gestattet im Rahmen des Mietzwecks, ausdrücklich einschließlich Untervermietung an Patienten (§17.1); zusätzlich Recht zur Ersatzmietergestellung (§17.2)</t>
        </is>
      </c>
      <c r="D21" s="26" t="n"/>
      <c r="E21" s="26" t="n"/>
      <c r="F21" s="26" t="n"/>
    </row>
    <row r="22" ht="65.25" customHeight="1">
      <c r="B22" s="6" t="inlineStr">
        <is>
          <t>Mietsicherheit</t>
        </is>
      </c>
      <c r="C22" s="50" t="inlineStr">
        <is>
          <t>3 monatliche Gesamtzahlungen (Miete inkl. NK-Vorauszahlung) = 58.130,61 €; selbstschuldnerische, unbefristete, unwiderrufliche Bankbürgschaft (§14.3); nach 5 Jahren störungsfreier Mietzeit Reduzierung um eine Gesamtzahlung (1. Nachtrag)</t>
        </is>
      </c>
      <c r="D22" s="51" t="n"/>
      <c r="E22" s="51" t="n"/>
      <c r="F22" s="51" t="n"/>
    </row>
    <row r="23">
      <c r="B23" s="6" t="inlineStr">
        <is>
          <t>Konkurrenzschutz</t>
        </is>
      </c>
      <c r="C23" s="25" t="inlineStr">
        <is>
          <t>Eingeschränkt – gewährt nur für den Betrieb eines Wohnheims mit Intensivpflege (§6.3), ausdrücklich nicht für andere medizinische Intensivpflege jedweder Ausrichtung (§6.4). Praktische Schutzwirkung fraglich.</t>
        </is>
      </c>
      <c r="D23" s="26" t="n"/>
      <c r="E23" s="26" t="n"/>
      <c r="F23" s="26" t="n"/>
    </row>
    <row r="24">
      <c r="B24" s="6" t="inlineStr">
        <is>
          <t>Sonderkündigungsrecht</t>
        </is>
      </c>
      <c r="C24" s="25" t="inlineStr">
        <is>
          <t>Keines – ordentliche Kündigung während Festlaufzeit und Verlängerungszeiträumen ausgeschlossen (§5.4)</t>
        </is>
      </c>
      <c r="D24" s="26" t="n"/>
      <c r="E24" s="26" t="n"/>
      <c r="F24" s="26" t="n"/>
    </row>
    <row r="25">
      <c r="B25" s="6" t="inlineStr">
        <is>
          <t>Instandhaltung/Instandsetzung</t>
        </is>
      </c>
      <c r="C25" s="25" t="inlineStr">
        <is>
          <t>Dach und Fach beim Vermieter; Mietfläche beim Mieter. Kleinreparaturen bis 300 €/Fall, p.a. gedeckelt auf eine Nettomonatsmiete (§12.8). Umlage der Instandhaltung gemeinschaftlicher Flächen auf 5 % der Jahresnettokaltmiete begrenzt (§11.3). Schönheitsreparaturen beim Mieter (§12.2).</t>
        </is>
      </c>
      <c r="D25" s="26" t="n"/>
      <c r="E25" s="26" t="n"/>
      <c r="F25" s="26" t="n"/>
    </row>
    <row r="26">
      <c r="B26" s="6" t="inlineStr">
        <is>
          <t>Besonderheiten / Sonstiges</t>
        </is>
      </c>
      <c r="C26" s="25" t="inlineStr">
        <is>
          <t>Vertragsstand = Hauptvertrag 05.02.2018 + 1.–3. Nachtrag. ACHTUNG Baukostenzuschuss verdeckt: Die 600,00 €/Monat für die statischen Mehraufwendungen im 1. OG (3. Nachtrag Ziff. 3) sind laufende Miete, nicht einmalig – über die Restlaufzeit wirtschaftlich ein amortisierter Baukostenzuschuss von rd. 54.000 €. OFFEN: Nebenkosten verstehen sich zzgl. USt (§11.6), während die Miete umsatzsteuerfrei ist (§9, keine Option). Ob die ausgewiesene Gesamtmiete von 19.376,87 € die USt auf die NK-Vorauszahlung bereits enthält, geht aus den Verträgen nicht hervor (Differenz rd. 735 €/Monat). Anmietrecht für später frei werdende Flächen im Gebäude (§1.2). Reinigungspflicht Treppenhaus/Aufzug 2x wöchentlich (§12.1).</t>
        </is>
      </c>
      <c r="D26" s="26" t="n"/>
      <c r="E26" s="26" t="n"/>
      <c r="F26" s="26" t="n"/>
    </row>
    <row r="27" ht="6.75" customHeight="1" thickBot="1">
      <c r="B27" s="7" t="n"/>
      <c r="C27" s="8" t="n"/>
      <c r="D27" s="7" t="n"/>
      <c r="E27" s="7" t="n"/>
      <c r="F27" s="7" t="n"/>
    </row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5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5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5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53" t="inlineStr">
        <is>
          <t>50m²</t>
        </is>
      </c>
      <c r="D33" s="5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5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5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53" t="n">
        <v>0</v>
      </c>
      <c r="D36" s="54" t="n"/>
      <c r="E36" s="26" t="n"/>
      <c r="F36" s="26" t="n"/>
    </row>
    <row r="37">
      <c r="B37" s="6" t="inlineStr">
        <is>
          <t>Capex pro Bett (Möbel, Ausstattung, etc.)</t>
        </is>
      </c>
      <c r="C37" s="5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5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5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5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53" t="inlineStr">
        <is>
          <t>50m²</t>
        </is>
      </c>
      <c r="D44" s="5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5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5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53" t="n">
        <v>40000</v>
      </c>
      <c r="D47" s="5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5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</row>
    <row r="55">
      <c r="B55" s="6" t="inlineStr">
        <is>
          <t>Kapazität (Anzahl Betten)</t>
        </is>
      </c>
      <c r="C55" s="27" t="inlineStr">
        <is>
          <t>XXX – Bettenzahl im Vertrag nicht genannt</t>
        </is>
      </c>
      <c r="D55" s="26" t="n"/>
      <c r="E55" s="26" t="n"/>
      <c r="F55" s="26" t="n"/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</row>
    <row r="68" ht="6.75" customHeight="1" thickBot="1">
      <c r="B68" s="7" t="n"/>
      <c r="C68" s="8" t="n"/>
      <c r="D68" s="7" t="n"/>
      <c r="E68" s="7" t="n"/>
      <c r="F68" s="7" t="n"/>
    </row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</row>
    <row r="73">
      <c r="B73" s="6" t="inlineStr">
        <is>
          <t>Kapazität (Anzahl Betten)</t>
        </is>
      </c>
      <c r="C73" s="27" t="inlineStr">
        <is>
          <t>XXX – Skizze Anlage N 3-1 sieht 5 Bewohner-Apartments vor</t>
        </is>
      </c>
      <c r="D73" s="26" t="n"/>
      <c r="E73" s="26" t="n"/>
      <c r="F73" s="26" t="n"/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inlineStr">
        <is>
          <t>15.10.2023 (1. OG + 3 Stellplätze) – Keller 70 qm bereits ab 15.04.2023</t>
        </is>
      </c>
      <c r="D75" s="26" t="n"/>
      <c r="E75" s="26" t="n"/>
      <c r="F75" s="26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</row>
    <row r="86" ht="6.75" customHeight="1" thickBot="1">
      <c r="B86" s="7" t="n"/>
      <c r="C86" s="8" t="n"/>
      <c r="D86" s="7" t="n"/>
      <c r="E86" s="7" t="n"/>
      <c r="F86" s="7" t="n"/>
    </row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WG / Nebenfläche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inlineStr">
        <is>
          <t>4. OG (laut 1. Nachtrag; alternativ 1. OG)</t>
        </is>
      </c>
      <c r="D90" s="26" t="n"/>
      <c r="E90" s="26" t="n"/>
      <c r="F90" s="26" t="n"/>
    </row>
    <row r="91">
      <c r="B91" s="6" t="inlineStr">
        <is>
          <t>Kapazität (Anzahl Betten)</t>
        </is>
      </c>
      <c r="C91" s="27" t="inlineStr">
        <is>
          <t>0 – OFFEN: Läge diese Fläche im 1. OG, wäre sie im "kompletten 1. OG" des 3. Nachtrags enthalten und doppelt erfasst. Die Mietsumme von 19.376,87 € ist strikt additiv, spricht also für das 4. OG.</t>
        </is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</row>
    <row r="104" ht="6.75" customHeight="1" thickBot="1">
      <c r="B104" s="7" t="n"/>
      <c r="C104" s="8" t="n"/>
      <c r="D104" s="7" t="n"/>
      <c r="E104" s="7" t="n"/>
      <c r="F104" s="7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XXX – nicht aus dem Mietvertrag ableitbar, aus Target-Unterlagen zu ergänzen</t>
        </is>
      </c>
      <c r="D108" s="37" t="n"/>
      <c r="E108" s="38" t="n"/>
      <c r="F108" s="33" t="n">
        <v>0</v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33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</row>
    <row r="121" ht="6.75" customHeight="1" thickBo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 – nicht aus dem Mietvertrag ableitbar, aus Target-Unterlagen zu ergänzen</t>
        </is>
      </c>
      <c r="D130" s="37" t="n"/>
      <c r="E130" s="38" t="n"/>
      <c r="F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33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</row>
    <row r="142" ht="6.75" customHeight="1" thickBot="1">
      <c r="B142" s="7" t="n"/>
      <c r="C142" s="8" t="n"/>
      <c r="D142" s="7" t="n"/>
      <c r="E142" s="7" t="n"/>
      <c r="F142" s="7" t="n"/>
    </row>
  </sheetData>
  <mergeCells count="1">
    <mergeCell ref="C22:F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42"/>
  <sheetViews>
    <sheetView showGridLines="0" workbookViewId="0">
      <selection activeCell="A1" sqref="A1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3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t="inlineStr">
        <is>
          <t>Baesweiler (Bestand)</t>
        </is>
      </c>
    </row>
    <row r="6">
      <c r="B6" s="4" t="inlineStr">
        <is>
          <t>Eckdaten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Jans &amp; Willems GbR</t>
        </is>
      </c>
      <c r="D7" s="26" t="n"/>
      <c r="E7" s="26" t="n"/>
      <c r="F7" s="26" t="n"/>
    </row>
    <row r="8">
      <c r="B8" s="6" t="inlineStr">
        <is>
          <t>Vermieter</t>
        </is>
      </c>
      <c r="C8" s="25" t="inlineStr">
        <is>
          <t>Jans &amp; Willems GbR, Pfarrer-Hecker-Str. 33, 41849 Wassenberg, vertreten durch Werner Jans</t>
        </is>
      </c>
      <c r="D8" s="26" t="n"/>
      <c r="E8" s="26" t="n"/>
      <c r="F8" s="26" t="n"/>
    </row>
    <row r="9">
      <c r="B9" s="6" t="inlineStr">
        <is>
          <t>Mieter</t>
        </is>
      </c>
      <c r="C9" s="25" t="inlineStr">
        <is>
          <t>365° Pflegezentrum Marianne Weiß GmbH, Alleestraße 68, 42853 Remscheid (opseo-Gruppe)</t>
        </is>
      </c>
      <c r="D9" s="26" t="n"/>
      <c r="E9" s="26" t="n"/>
      <c r="F9" s="26" t="n"/>
    </row>
    <row r="10">
      <c r="B10" s="6" t="inlineStr">
        <is>
          <t>Adresse</t>
        </is>
      </c>
      <c r="C10" s="25" t="inlineStr">
        <is>
          <t>Lessingstr. 3, 52499 Baesweiler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 – im Vertrag nicht genannt</t>
        </is>
      </c>
      <c r="D11" s="26" t="n"/>
      <c r="E11" s="26" t="n"/>
      <c r="F11" s="26" t="n"/>
    </row>
    <row r="12">
      <c r="B12" s="6" t="inlineStr">
        <is>
          <t>Mietzweck</t>
        </is>
      </c>
      <c r="C12" s="25" t="inlineStr">
        <is>
          <t>Betrieb einer Pflegeeinrichtung zur außerklinischen Versorgung, insbesondere Beatmungs- und Intensivpflege; Nutzung als Intensivpflege-Wohngemeinschaft gem. Baugenehmigung (§1.1, §1.3)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5 Jahre Kündigungsausschluss für beide Parteien (§2.2). ACHTUNG Widerspruch im Vertrag: §2.3 räumt das Optionsrecht erst "nach Ablauf der ersten zehn Mietjahre" ein und §4.1 vereinbart die Miete für zehn Jahre fest. Am Scan doppelt verifiziert – die Abweichung steht so im Dokument. Klärungsbedarf.</t>
        </is>
      </c>
      <c r="D13" s="26" t="n"/>
      <c r="E13" s="26" t="n"/>
      <c r="F13" s="26" t="n"/>
    </row>
    <row r="14">
      <c r="B14" s="6" t="inlineStr">
        <is>
          <t>Verlängerungsoptionen</t>
        </is>
      </c>
      <c r="C14" s="25" t="inlineStr">
        <is>
          <t>2x 5 Jahre (Verlängerungszeitraum 1 und 2); Ausübung schriftlich per Brief oder E-Mail spätestens 6 Monate vor Ablauf der Festlaufzeit bzw. des Verlängerungszeitraums 1 (§2.3). Danach unbestimmte Zeit mit 6-Monats-Kündigungsfrist.</t>
        </is>
      </c>
      <c r="D14" s="26" t="n"/>
      <c r="E14" s="26" t="n"/>
      <c r="F14" s="26" t="n"/>
    </row>
    <row r="15">
      <c r="B15" s="6" t="inlineStr">
        <is>
          <t>Mietbeginn</t>
        </is>
      </c>
      <c r="C15" s="25" t="inlineStr">
        <is>
          <t>Monatserster des auf den Vollzug des Kaufvertrags folgenden Kalendermonats (§2.1) – XXX, Vollzugsdatum des Kaufvertrags Kuijpers v. 17.03.2023 zu bestätigen</t>
        </is>
      </c>
      <c r="D15" s="26" t="n"/>
      <c r="E15" s="26" t="n"/>
      <c r="F15" s="26" t="n"/>
    </row>
    <row r="16">
      <c r="B16" s="6" t="inlineStr">
        <is>
          <t>Übergabezeitpunkt</t>
        </is>
      </c>
      <c r="C16" s="25" t="inlineStr">
        <is>
          <t>Übergabeanspruch erst nach Stellung der Sicherheit (§3.1); Übernahmepflicht am Übergabetag; geringfügige Mängel hindern die Übergabe nicht (§3.2). Keine Vertragsstrafe geregelt.</t>
        </is>
      </c>
      <c r="D16" s="26" t="n"/>
      <c r="E16" s="26" t="n"/>
      <c r="F16" s="26" t="n"/>
    </row>
    <row r="17">
      <c r="B17" s="6" t="inlineStr">
        <is>
          <t>Aufschiebende Bedingung / Rücktrittsrecht</t>
        </is>
      </c>
      <c r="C17" s="25" t="inlineStr">
        <is>
          <t>Ja – der gesamte Mietvertrag steht unter der aufschiebenden Bedingung des Vollzugs des Kauf- und Übertragungsvertrags betreffend Kuijpers Ambulante Pflege GmbH und PWH GmbH &amp; Co. KG vom 17.03.2023</t>
        </is>
      </c>
      <c r="D17" s="26" t="n"/>
      <c r="E17" s="26" t="n"/>
      <c r="F17" s="26" t="n"/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</row>
    <row r="19">
      <c r="B19" s="6" t="inlineStr">
        <is>
          <t>Wertsicherung (VPI)</t>
        </is>
      </c>
      <c r="C19" s="25" t="inlineStr">
        <is>
          <t>Keine Indexierung vereinbart – die Miete ist für den Zeitraum von zehn Jahren fest vereinbart (§4.1). Deutlicher Vorteil gegenüber Würselen.</t>
        </is>
      </c>
      <c r="D19" s="26" t="n"/>
      <c r="E19" s="26" t="n"/>
      <c r="F19" s="26" t="n"/>
    </row>
    <row r="20">
      <c r="B20" s="6" t="inlineStr">
        <is>
          <t>Rückbauverpflichtung Mieter</t>
        </is>
      </c>
      <c r="C20" s="25" t="inlineStr">
        <is>
          <t>Keine – ausdrücklich klargestellt, dass gemäß Zustand bei Mietbeginn keine Rückbauverpflichtungen entstehen (§15.1). Der Vermieter kann die Übernahme von Um-/Einbauten gegen Zeitwertentschädigung verlangen (§8.1.1).</t>
        </is>
      </c>
      <c r="D20" s="26" t="n"/>
      <c r="E20" s="26" t="n"/>
      <c r="F20" s="26" t="n"/>
    </row>
    <row r="21">
      <c r="B21" s="6" t="inlineStr">
        <is>
          <t>Untervermietung</t>
        </is>
      </c>
      <c r="C21" s="25" t="inlineStr">
        <is>
          <t>Grundsätzlich zustimmungspflichtig; ohne Zustimmung zulässig an verbundene Unternehmen i.S.d. §§15 ff. AktG sowie die Untervermietung einzelner Räume an pflegebedürftige Bewohner (§6.1)</t>
        </is>
      </c>
      <c r="D21" s="26" t="n"/>
      <c r="E21" s="26" t="n"/>
      <c r="F21" s="26" t="n"/>
    </row>
    <row r="22" ht="65.25" customHeight="1">
      <c r="B22" s="6" t="inlineStr">
        <is>
          <t>Mietsicherheit</t>
        </is>
      </c>
      <c r="C22" s="50" t="inlineStr">
        <is>
          <t>Patronatserklärung der Muttergesellschaft opseo Intensivpflege Holding B.V., beschränkt auf eine Jahreskaltmiete (= 102.000 €), zu stellen binnen 4 Wochen nach Unterzeichnung (§5.1). Austausch bei Gesellschafterwechsel möglich (§5.3).</t>
        </is>
      </c>
      <c r="D22" s="51" t="n"/>
      <c r="E22" s="51" t="n"/>
      <c r="F22" s="51" t="n"/>
    </row>
    <row r="23">
      <c r="B23" s="6" t="inlineStr">
        <is>
          <t>Konkurrenzschutz</t>
        </is>
      </c>
      <c r="C23" s="25" t="inlineStr">
        <is>
          <t>Nicht geregelt – kein Konkurrenzschutz vereinbart</t>
        </is>
      </c>
      <c r="D23" s="26" t="n"/>
      <c r="E23" s="26" t="n"/>
      <c r="F23" s="26" t="n"/>
    </row>
    <row r="24">
      <c r="B24" s="6" t="inlineStr">
        <is>
          <t>Sonderkündigungsrecht</t>
        </is>
      </c>
      <c r="C24" s="25" t="inlineStr">
        <is>
          <t>Ja – bei behördlicher Nutzungsuntersagung wegen des baulichen bzw. bau- und brandschutztechnischen Zustands, sofern der Vermieter sie nicht abwenden kann (§1.4)</t>
        </is>
      </c>
      <c r="D24" s="26" t="n"/>
      <c r="E24" s="26" t="n"/>
      <c r="F24" s="26" t="n"/>
    </row>
    <row r="25">
      <c r="B25" s="6" t="inlineStr">
        <is>
          <t>Instandhaltung/Instandsetzung</t>
        </is>
      </c>
      <c r="C25" s="25" t="inlineStr">
        <is>
          <t>Dach und Fach beim Vermieter auf dessen Kosten (§7.1). Übrige Instandhaltung/Instandsetzung des Gebäudes inkl. technischer Anlagen veranlasst der Vermieter; Kosten werden über die Nebenkostenabrechnung umgelegt, begrenzt auf 5 % der jährlichen Nettokaltmiete (§7.2). Schönheitsreparaturen beim Mieter (§7.4).</t>
        </is>
      </c>
      <c r="D25" s="26" t="n"/>
      <c r="E25" s="26" t="n"/>
      <c r="F25" s="26" t="n"/>
    </row>
    <row r="26">
      <c r="B26" s="6" t="inlineStr">
        <is>
          <t>Besonderheiten / Sonstiges</t>
        </is>
      </c>
      <c r="C26" s="25" t="inlineStr">
        <is>
          <t>RED FLAG: Schlussabnahmebescheinigung der Bauaufsicht liegt nicht vor; Nachtragsgenehmigung seit 02.02.2022 beantragt, noch nicht erteilt (§1.1) – in Verbindung mit dem Sonderkündigungsrecht aus §1.4 zu bewerten. Inventar vermieterseitig gestellt (§1.2). Eigener Stromliefervertrag, Abnahmepflicht für den PV-Strom vom Grundstück (§4.2.2). Eintritt in die bestehenden Untermietverträge mit den Patienten (§18). Verkehrssicherung und Winterdienst beim Mieter (§17). Keine USt auf die Miete (§4.1). EG-Wohnung nicht Mietgegenstand, Zugang über den Haupteingang (§9.3). Gerichtsstand Wassenberg (§21).</t>
        </is>
      </c>
      <c r="D26" s="26" t="n"/>
      <c r="E26" s="26" t="n"/>
      <c r="F26" s="26" t="n"/>
    </row>
    <row r="27" ht="6.75" customHeight="1" thickBot="1">
      <c r="B27" s="7" t="n"/>
      <c r="C27" s="8" t="n"/>
      <c r="D27" s="7" t="n"/>
      <c r="E27" s="7" t="n"/>
      <c r="F27" s="7" t="n"/>
    </row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5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5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5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53" t="inlineStr">
        <is>
          <t>50m²</t>
        </is>
      </c>
      <c r="D33" s="5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5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5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53" t="n">
        <v>0</v>
      </c>
      <c r="D36" s="54" t="n"/>
      <c r="E36" s="26" t="n"/>
      <c r="F36" s="26" t="n"/>
    </row>
    <row r="37">
      <c r="B37" s="6" t="inlineStr">
        <is>
          <t>Capex pro Bett (Möbel, Ausstattung, etc.)</t>
        </is>
      </c>
      <c r="C37" s="5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5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5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5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53" t="inlineStr">
        <is>
          <t>50m²</t>
        </is>
      </c>
      <c r="D44" s="5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5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5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53" t="n">
        <v>40000</v>
      </c>
      <c r="D47" s="5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5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 (Intensivpflege-Wohngemeinschaft)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Im Vertrag nicht spezifiziert; Abstellräume im Kellergeschoss ausdrücklich erfasst (§1.1). Die EG-Wohnung ist nicht Mietgegenstand (§9.3).</t>
        </is>
      </c>
      <c r="D54" s="26" t="n"/>
      <c r="E54" s="26" t="n"/>
      <c r="F54" s="26" t="n"/>
    </row>
    <row r="55">
      <c r="B55" s="6" t="inlineStr">
        <is>
          <t>Kapazität (Anzahl Betten)</t>
        </is>
      </c>
      <c r="C55" s="27" t="n">
        <v>18</v>
      </c>
      <c r="D55" s="26" t="n"/>
      <c r="E55" s="26" t="n"/>
      <c r="F55" s="26" t="n"/>
    </row>
    <row r="56">
      <c r="B56" s="6" t="inlineStr">
        <is>
          <t>Größe der Fläche (in qm)</t>
        </is>
      </c>
      <c r="C56" s="28" t="n">
        <v>1082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inlineStr">
        <is>
          <t>XXX – siehe Mietbeginn</t>
        </is>
      </c>
      <c r="D57" s="26" t="n"/>
      <c r="E57" s="26" t="n"/>
      <c r="F57" s="26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1082</v>
      </c>
      <c r="D60" s="31" t="n">
        <v>7.855822550831793</v>
      </c>
      <c r="E60" s="13">
        <f>+C60*D60</f>
        <v/>
      </c>
      <c r="F60" s="13">
        <f>+E60*12</f>
        <v/>
      </c>
    </row>
    <row r="61">
      <c r="B61" s="6" t="inlineStr">
        <is>
          <t>Nebenkostenpauschale</t>
        </is>
      </c>
      <c r="C61" s="32">
        <f>+C60</f>
        <v/>
      </c>
      <c r="D61" s="33" t="n">
        <v>4.343807763401109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0</v>
      </c>
      <c r="D62" s="33" t="n">
        <v>0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0</v>
      </c>
      <c r="D64" s="33" t="n">
        <v>0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</row>
    <row r="68" ht="6.75" customHeight="1" thickBot="1">
      <c r="B68" s="7" t="n"/>
      <c r="C68" s="8" t="n"/>
      <c r="D68" s="7" t="n"/>
      <c r="E68" s="7" t="n"/>
      <c r="F68" s="7" t="n"/>
    </row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entfällt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n"/>
      <c r="D72" s="26" t="n"/>
      <c r="E72" s="26" t="n"/>
      <c r="F72" s="26" t="n"/>
    </row>
    <row r="73">
      <c r="B73" s="6" t="inlineStr">
        <is>
          <t>Kapazität (Anzahl Betten)</t>
        </is>
      </c>
      <c r="C73" s="27" t="n">
        <v>0</v>
      </c>
      <c r="D73" s="26" t="n"/>
      <c r="E73" s="26" t="n"/>
      <c r="F73" s="26" t="n"/>
    </row>
    <row r="74">
      <c r="B74" s="6" t="inlineStr">
        <is>
          <t>Größe der Fläche (in qm)</t>
        </is>
      </c>
      <c r="C74" s="28" t="n">
        <v>0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n"/>
      <c r="D75" s="26" t="n"/>
      <c r="E75" s="26" t="n"/>
      <c r="F75" s="26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0</v>
      </c>
      <c r="D78" s="31" t="n">
        <v>0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0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0</v>
      </c>
      <c r="D80" s="33" t="n">
        <v>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0</v>
      </c>
      <c r="D82" s="33" t="n">
        <v>0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0</v>
      </c>
      <c r="D83" s="33" t="n">
        <v>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</row>
    <row r="86" ht="6.75" customHeight="1" thickBot="1">
      <c r="B86" s="7" t="n"/>
      <c r="C86" s="8" t="n"/>
      <c r="D86" s="7" t="n"/>
      <c r="E86" s="7" t="n"/>
      <c r="F86" s="7" t="n"/>
    </row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entfällt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n"/>
      <c r="D90" s="26" t="n"/>
      <c r="E90" s="26" t="n"/>
      <c r="F90" s="26" t="n"/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0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/>
      <c r="D93" s="26" t="n"/>
      <c r="E93" s="26" t="n"/>
      <c r="F93" s="26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0</v>
      </c>
      <c r="D96" s="31" t="n">
        <v>0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0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</row>
    <row r="104" ht="6.75" customHeight="1" thickBot="1">
      <c r="B104" s="7" t="n"/>
      <c r="C104" s="8" t="n"/>
      <c r="D104" s="7" t="n"/>
      <c r="E104" s="7" t="n"/>
      <c r="F104" s="7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Inventar (Einbauküchen, Pflegebetten, Vorhänge) vermieterseitig gestellt und im Mietzins enthalten (§1.2)</t>
        </is>
      </c>
      <c r="D108" s="37" t="n"/>
      <c r="E108" s="38" t="n"/>
      <c r="F108" s="33" t="n">
        <v>0</v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33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</row>
    <row r="121" ht="6.75" customHeight="1" thickBo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 – nicht aus dem Mietvertrag ableitbar, aus internen Unterlagen zu ergänzen</t>
        </is>
      </c>
      <c r="D130" s="37" t="n"/>
      <c r="E130" s="38" t="n"/>
      <c r="F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33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</row>
    <row r="142" ht="6.75" customHeight="1" thickBot="1">
      <c r="B142" s="7" t="n"/>
      <c r="C142" s="8" t="n"/>
      <c r="D142" s="7" t="n"/>
      <c r="E142" s="7" t="n"/>
      <c r="F142" s="7" t="n"/>
    </row>
  </sheetData>
  <mergeCells count="1">
    <mergeCell ref="C22:F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2026-08-18T09:11:44Z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