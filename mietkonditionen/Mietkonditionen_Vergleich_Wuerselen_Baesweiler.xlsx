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6320" windowWidth="29040" windowHeight="15720" tabRatio="600" firstSheet="0" activeTab="1" autoFilterDateGrouping="1"/>
  </bookViews>
  <sheets>
    <sheet name="Short Version" sheetId="1" state="visible" r:id="rId1"/>
    <sheet name="Long Version" sheetId="2" state="visible" r:id="rId2"/>
  </sheets>
  <definedNames>
    <definedName name="_xlnm.Print_Area" localSheetId="0">'Short Version'!$B$2:$F$43</definedName>
  </definedNames>
  <calcPr calcId="191029" fullCalcOnLoad="1"/>
</workbook>
</file>

<file path=xl/styles.xml><?xml version="1.0" encoding="utf-8"?>
<styleSheet xmlns="http://schemas.openxmlformats.org/spreadsheetml/2006/main">
  <numFmts count="4">
    <numFmt numFmtId="164" formatCode="#,##0.00\ &quot;€&quot;"/>
    <numFmt numFmtId="165" formatCode="0&quot;qm&quot;"/>
    <numFmt numFmtId="166" formatCode="#,##0\ &quot;€&quot;;[Red]\-#,##0\ &quot;€&quot;"/>
    <numFmt numFmtId="167" formatCode="#,##0.00\ &quot;€&quot;;[Red]\-#,##0.00\ &quot;€&quot;"/>
  </numFmts>
  <fonts count="7">
    <font>
      <name val="Aptos Narrow"/>
      <family val="2"/>
      <color theme="1"/>
      <sz val="11"/>
      <scheme val="minor"/>
    </font>
    <font>
      <name val="Aptos Narrow"/>
      <family val="2"/>
      <b val="1"/>
      <color theme="1"/>
      <sz val="11"/>
      <scheme val="minor"/>
    </font>
    <font>
      <name val="Aptos Narrow"/>
      <family val="2"/>
      <color rgb="FF0000FF"/>
      <sz val="11"/>
      <scheme val="minor"/>
    </font>
    <font>
      <name val="Aptos Narrow"/>
      <family val="2"/>
      <b val="1"/>
      <color rgb="FF0000FF"/>
      <sz val="11"/>
      <scheme val="minor"/>
    </font>
    <font>
      <name val="Aptos Narrow"/>
      <family val="2"/>
      <i val="1"/>
      <color theme="1"/>
      <sz val="11"/>
      <scheme val="minor"/>
    </font>
    <font>
      <name val="Aptos Narrow"/>
      <family val="2"/>
      <sz val="11"/>
      <scheme val="minor"/>
    </font>
    <font>
      <name val="Aptos Narrow"/>
      <i val="1"/>
      <color rgb="FF808080"/>
      <sz val="10"/>
    </font>
  </fonts>
  <fills count="5">
    <fill>
      <patternFill/>
    </fill>
    <fill>
      <patternFill patternType="gray125"/>
    </fill>
    <fill>
      <patternFill patternType="solid">
        <fgColor theme="0" tint="-0.0499893185216834"/>
        <bgColor indexed="64"/>
      </patternFill>
    </fill>
    <fill>
      <patternFill patternType="solid">
        <fgColor theme="0" tint="-0.249977111117893"/>
        <bgColor indexed="64"/>
      </patternFill>
    </fill>
    <fill>
      <patternFill patternType="solid">
        <fgColor theme="3" tint="0.8999908444471572"/>
        <bgColor indexed="64"/>
      </patternFill>
    </fill>
  </fills>
  <borders count="33">
    <border>
      <left/>
      <right/>
      <top/>
      <bottom/>
      <diagonal/>
    </border>
    <border>
      <left/>
      <right/>
      <top/>
      <bottom style="thin">
        <color indexed="64"/>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right/>
      <top style="thin">
        <color theme="0" tint="-0.249946592608417"/>
      </top>
      <bottom style="thin">
        <color theme="0" tint="-0.249946592608417"/>
      </bottom>
      <diagonal/>
    </border>
    <border>
      <left/>
      <right/>
      <top style="thin">
        <color theme="0" tint="-0.249946592608417"/>
      </top>
      <bottom style="medium">
        <color indexed="64"/>
      </bottom>
      <diagonal/>
    </border>
    <border>
      <left style="thin">
        <color indexed="64"/>
      </left>
      <right/>
      <top style="thin">
        <color indexed="64"/>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medium">
        <color indexed="64"/>
      </bottom>
      <diagonal/>
    </border>
    <border>
      <left style="thin">
        <color indexed="64"/>
      </left>
      <right style="hair">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hair">
        <color indexed="64"/>
      </left>
      <right/>
      <top style="hair">
        <color indexed="64"/>
      </top>
      <bottom style="hair">
        <color indexed="64"/>
      </bottom>
      <diagonal/>
    </border>
    <border>
      <left/>
      <right/>
      <top style="thin">
        <color theme="0" tint="-0.249946592608417"/>
      </top>
      <bottom/>
      <diagonal/>
    </border>
    <border>
      <left/>
      <right/>
      <top style="thin">
        <color indexed="64"/>
      </top>
      <bottom/>
      <diagonal/>
    </border>
    <border>
      <left/>
      <right style="thin">
        <color indexed="64"/>
      </right>
      <top style="thin">
        <color indexed="64"/>
      </top>
      <bottom/>
      <diagonal/>
    </border>
    <border>
      <left style="medium"/>
      <right/>
      <top/>
      <bottom/>
    </border>
    <border>
      <left style="medium"/>
      <right style="thin">
        <color indexed="64"/>
      </right>
      <top style="thin">
        <color indexed="64"/>
      </top>
      <bottom style="thin">
        <color indexed="64"/>
      </bottom>
    </border>
    <border>
      <left style="medium"/>
      <right/>
      <top/>
      <bottom style="thin">
        <color indexed="64"/>
      </bottom>
    </border>
    <border>
      <left style="medium"/>
      <right/>
      <top style="thin">
        <color theme="0" tint="-0.249946592608417"/>
      </top>
      <bottom style="thin">
        <color theme="0" tint="-0.249946592608417"/>
      </bottom>
    </border>
    <border>
      <left style="medium"/>
      <right/>
      <top style="thin">
        <color theme="0" tint="-0.249946592608417"/>
      </top>
      <bottom style="medium">
        <color indexed="64"/>
      </bottom>
    </border>
    <border>
      <left style="medium"/>
      <right style="hair">
        <color indexed="64"/>
      </right>
      <top style="thin">
        <color indexed="64"/>
      </top>
      <bottom style="hair">
        <color indexed="64"/>
      </bottom>
    </border>
    <border>
      <left style="medium"/>
      <right style="hair">
        <color indexed="64"/>
      </right>
      <top style="hair">
        <color indexed="64"/>
      </top>
      <bottom style="hair">
        <color indexed="64"/>
      </bottom>
    </border>
    <border>
      <left style="medium"/>
      <right/>
      <top style="thin">
        <color indexed="64"/>
      </top>
      <bottom style="thin">
        <color theme="0" tint="-0.249946592608417"/>
      </bottom>
    </border>
  </borders>
  <cellStyleXfs count="1">
    <xf numFmtId="0" fontId="0" fillId="0" borderId="0"/>
  </cellStyleXfs>
  <cellXfs count="87">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13" applyAlignment="1" pivotButton="0" quotePrefix="0" xfId="0">
      <alignment vertical="center"/>
    </xf>
    <xf numFmtId="0" fontId="1" fillId="3" borderId="1" applyAlignment="1" pivotButton="0" quotePrefix="0" xfId="0">
      <alignment vertical="center"/>
    </xf>
    <xf numFmtId="0" fontId="0" fillId="3" borderId="1"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8" applyAlignment="1" pivotButton="0" quotePrefix="0" xfId="0">
      <alignment vertical="center"/>
    </xf>
    <xf numFmtId="0" fontId="1" fillId="0" borderId="1" applyAlignment="1" pivotButton="0" quotePrefix="0" xfId="0">
      <alignment vertical="center"/>
    </xf>
    <xf numFmtId="0" fontId="1" fillId="2" borderId="0" applyAlignment="1" pivotButton="0" quotePrefix="0" xfId="0">
      <alignment vertical="center"/>
    </xf>
    <xf numFmtId="0" fontId="1" fillId="0" borderId="1" applyAlignment="1" pivotButton="0" quotePrefix="0" xfId="0">
      <alignment horizontal="left" vertical="center"/>
    </xf>
    <xf numFmtId="0" fontId="1" fillId="0" borderId="1" applyAlignment="1" pivotButton="0" quotePrefix="0" xfId="0">
      <alignment horizontal="right" vertical="center"/>
    </xf>
    <xf numFmtId="164" fontId="0" fillId="0" borderId="0" applyAlignment="1" pivotButton="0" quotePrefix="0" xfId="0">
      <alignment vertical="center"/>
    </xf>
    <xf numFmtId="0" fontId="0" fillId="0" borderId="1" applyAlignment="1" pivotButton="0" quotePrefix="0" xfId="0">
      <alignment vertical="center"/>
    </xf>
    <xf numFmtId="0" fontId="2" fillId="0" borderId="11" applyAlignment="1" pivotButton="0" quotePrefix="0" xfId="0">
      <alignment vertical="center"/>
    </xf>
    <xf numFmtId="164" fontId="2" fillId="0" borderId="1" applyAlignment="1" pivotButton="0" quotePrefix="0" xfId="0">
      <alignment vertical="center"/>
    </xf>
    <xf numFmtId="164" fontId="0" fillId="0" borderId="1" applyAlignment="1" pivotButton="0" quotePrefix="0" xfId="0">
      <alignment vertical="center"/>
    </xf>
    <xf numFmtId="0" fontId="3" fillId="0" borderId="12" applyAlignment="1" pivotButton="0" quotePrefix="0" xfId="0">
      <alignment vertical="center"/>
    </xf>
    <xf numFmtId="164" fontId="3" fillId="0" borderId="0" applyAlignment="1" pivotButton="0" quotePrefix="0" xfId="0">
      <alignment vertical="center"/>
    </xf>
    <xf numFmtId="164" fontId="1" fillId="0" borderId="0" applyAlignment="1" pivotButton="0" quotePrefix="0" xfId="0">
      <alignment vertical="center"/>
    </xf>
    <xf numFmtId="0" fontId="4" fillId="0" borderId="0" applyAlignment="1" pivotButton="0" quotePrefix="0" xfId="0">
      <alignment vertical="center"/>
    </xf>
    <xf numFmtId="0" fontId="0" fillId="0" borderId="4" applyAlignment="1" pivotButton="0" quotePrefix="0" xfId="0">
      <alignment horizontal="left" vertical="center" indent="1"/>
    </xf>
    <xf numFmtId="0" fontId="1" fillId="2" borderId="1" applyAlignment="1" pivotButton="0" quotePrefix="0" xfId="0">
      <alignment horizontal="left" vertical="center"/>
    </xf>
    <xf numFmtId="0" fontId="1" fillId="2" borderId="1" applyAlignment="1" pivotButton="0" quotePrefix="0" xfId="0">
      <alignment horizontal="right" vertical="center"/>
    </xf>
    <xf numFmtId="0" fontId="2" fillId="4" borderId="7" applyAlignment="1" pivotButton="0" quotePrefix="0" xfId="0">
      <alignment vertical="center"/>
    </xf>
    <xf numFmtId="0" fontId="0" fillId="4" borderId="4" applyAlignment="1" pivotButton="0" quotePrefix="0" xfId="0">
      <alignment vertical="center"/>
    </xf>
    <xf numFmtId="0" fontId="2" fillId="4" borderId="7" applyAlignment="1" pivotButton="0" quotePrefix="0" xfId="0">
      <alignment horizontal="left" vertical="center"/>
    </xf>
    <xf numFmtId="165" fontId="2" fillId="4" borderId="7" applyAlignment="1" pivotButton="0" quotePrefix="0" xfId="0">
      <alignment horizontal="left" vertical="center"/>
    </xf>
    <xf numFmtId="14" fontId="2" fillId="4" borderId="7" applyAlignment="1" pivotButton="0" quotePrefix="0" xfId="0">
      <alignment horizontal="left" vertical="center"/>
    </xf>
    <xf numFmtId="165" fontId="2" fillId="4" borderId="9" applyAlignment="1" pivotButton="0" quotePrefix="0" xfId="0">
      <alignment vertical="center"/>
    </xf>
    <xf numFmtId="164" fontId="2" fillId="4" borderId="2" applyAlignment="1" pivotButton="0" quotePrefix="0" xfId="0">
      <alignment vertical="center"/>
    </xf>
    <xf numFmtId="165" fontId="2" fillId="4" borderId="10" applyAlignment="1" pivotButton="0" quotePrefix="0" xfId="0">
      <alignment vertical="center"/>
    </xf>
    <xf numFmtId="164" fontId="2" fillId="4" borderId="3" applyAlignment="1" pivotButton="0" quotePrefix="0" xfId="0">
      <alignment vertical="center"/>
    </xf>
    <xf numFmtId="0" fontId="2" fillId="4" borderId="10" applyAlignment="1" pivotButton="0" quotePrefix="0" xfId="0">
      <alignment vertical="center"/>
    </xf>
    <xf numFmtId="0" fontId="2" fillId="4" borderId="4" applyAlignment="1" pivotButton="0" quotePrefix="0" xfId="0">
      <alignment vertical="center"/>
    </xf>
    <xf numFmtId="0" fontId="2" fillId="4" borderId="6" applyAlignment="1" pivotButton="0" quotePrefix="0" xfId="0">
      <alignment vertical="center"/>
    </xf>
    <xf numFmtId="164" fontId="2" fillId="4" borderId="14" applyAlignment="1" pivotButton="0" quotePrefix="0" xfId="0">
      <alignment vertical="center"/>
    </xf>
    <xf numFmtId="164" fontId="2" fillId="4" borderId="15" applyAlignment="1" pivotButton="0" quotePrefix="0" xfId="0">
      <alignment vertical="center"/>
    </xf>
    <xf numFmtId="164" fontId="2" fillId="4" borderId="16" applyAlignment="1" pivotButton="0" quotePrefix="0" xfId="0">
      <alignment vertical="center"/>
    </xf>
    <xf numFmtId="164" fontId="2" fillId="4" borderId="17" applyAlignment="1" pivotButton="0" quotePrefix="0" xfId="0">
      <alignment vertical="center"/>
    </xf>
    <xf numFmtId="164" fontId="2" fillId="4" borderId="7" applyAlignment="1" pivotButton="0" quotePrefix="0" xfId="0">
      <alignment horizontal="left" vertical="center"/>
    </xf>
    <xf numFmtId="164" fontId="5" fillId="0" borderId="7" applyAlignment="1" pivotButton="0" quotePrefix="0" xfId="0">
      <alignment horizontal="left" vertical="center"/>
    </xf>
    <xf numFmtId="166" fontId="2" fillId="4" borderId="7" applyAlignment="1" pivotButton="0" quotePrefix="0" xfId="0">
      <alignment horizontal="left" vertical="center"/>
    </xf>
    <xf numFmtId="167" fontId="2" fillId="4" borderId="7" applyAlignment="1" pivotButton="0" quotePrefix="0" xfId="0">
      <alignment horizontal="left" vertical="center"/>
    </xf>
    <xf numFmtId="166" fontId="2" fillId="4" borderId="4" applyAlignment="1" pivotButton="0" quotePrefix="0" xfId="0">
      <alignment horizontal="left" vertical="center"/>
    </xf>
    <xf numFmtId="0" fontId="2" fillId="4" borderId="7" applyAlignment="1" pivotButton="0" quotePrefix="0" xfId="0">
      <alignment horizontal="left" vertical="center" wrapText="1"/>
    </xf>
    <xf numFmtId="0" fontId="6" fillId="0" borderId="0" pivotButton="0" quotePrefix="0" xfId="0"/>
    <xf numFmtId="0" fontId="6" fillId="4" borderId="4" applyAlignment="1" pivotButton="0" quotePrefix="0" xfId="0">
      <alignment vertical="center"/>
    </xf>
    <xf numFmtId="0" fontId="6" fillId="0" borderId="4" applyAlignment="1" pivotButton="0" quotePrefix="0" xfId="0">
      <alignment vertical="center"/>
    </xf>
    <xf numFmtId="0" fontId="2" fillId="4" borderId="7" applyAlignment="1" pivotButton="0" quotePrefix="0" xfId="0">
      <alignment vertical="center" wrapText="1"/>
    </xf>
    <xf numFmtId="0" fontId="2" fillId="4" borderId="7" applyAlignment="1" pivotButton="0" quotePrefix="0" xfId="0">
      <alignment horizontal="left" vertical="center" wrapText="1"/>
    </xf>
    <xf numFmtId="0" fontId="0" fillId="0" borderId="4" pivotButton="0" quotePrefix="0" xfId="0"/>
    <xf numFmtId="0" fontId="2" fillId="2" borderId="18" applyAlignment="1" pivotButton="0" quotePrefix="0" xfId="0">
      <alignment horizontal="left" vertical="center"/>
    </xf>
    <xf numFmtId="0" fontId="2" fillId="2" borderId="19" applyAlignment="1" pivotButton="0" quotePrefix="0" xfId="0">
      <alignment horizontal="left" vertical="center"/>
    </xf>
    <xf numFmtId="0" fontId="2" fillId="2" borderId="20" applyAlignment="1" pivotButton="0" quotePrefix="0" xfId="0">
      <alignment horizontal="left" vertical="center"/>
    </xf>
    <xf numFmtId="164" fontId="2" fillId="4" borderId="21" applyAlignment="1" pivotButton="0" quotePrefix="0" xfId="0">
      <alignment vertical="center"/>
    </xf>
    <xf numFmtId="0" fontId="0" fillId="0" borderId="12" applyAlignment="1" pivotButton="0" quotePrefix="0" xfId="0">
      <alignment vertical="center"/>
    </xf>
    <xf numFmtId="0" fontId="1" fillId="0" borderId="12" applyAlignment="1" pivotButton="0" quotePrefix="0" xfId="0">
      <alignment vertical="center"/>
    </xf>
    <xf numFmtId="0" fontId="0" fillId="0" borderId="25" pivotButton="0" quotePrefix="0" xfId="0"/>
    <xf numFmtId="0" fontId="2" fillId="2" borderId="13" applyAlignment="1" pivotButton="0" quotePrefix="0" xfId="0">
      <alignment horizontal="left" vertical="center"/>
    </xf>
    <xf numFmtId="0" fontId="0" fillId="0" borderId="19" pivotButton="0" quotePrefix="0" xfId="0"/>
    <xf numFmtId="0" fontId="0" fillId="0" borderId="20" pivotButton="0" quotePrefix="0" xfId="0"/>
    <xf numFmtId="0" fontId="2" fillId="2" borderId="26" applyAlignment="1" pivotButton="0" quotePrefix="0" xfId="0">
      <alignment vertical="center"/>
    </xf>
    <xf numFmtId="0" fontId="0" fillId="3" borderId="27" applyAlignment="1" pivotButton="0" quotePrefix="0" xfId="0">
      <alignment vertical="center"/>
    </xf>
    <xf numFmtId="0" fontId="2" fillId="4" borderId="28" applyAlignment="1" pivotButton="0" quotePrefix="0" xfId="0">
      <alignment vertical="center"/>
    </xf>
    <xf numFmtId="0" fontId="2" fillId="4" borderId="28" applyAlignment="1" pivotButton="0" quotePrefix="0" xfId="0">
      <alignment horizontal="left" vertical="center" wrapText="1"/>
    </xf>
    <xf numFmtId="0" fontId="0" fillId="0" borderId="29" applyAlignment="1" pivotButton="0" quotePrefix="0" xfId="0">
      <alignment vertical="center"/>
    </xf>
    <xf numFmtId="0" fontId="1" fillId="0" borderId="27" applyAlignment="1" pivotButton="0" quotePrefix="0" xfId="0">
      <alignment vertical="center"/>
    </xf>
    <xf numFmtId="167" fontId="2" fillId="4" borderId="7" applyAlignment="1" pivotButton="0" quotePrefix="0" xfId="0">
      <alignment horizontal="left" vertical="center"/>
    </xf>
    <xf numFmtId="167" fontId="2" fillId="4" borderId="28" applyAlignment="1" pivotButton="0" quotePrefix="0" xfId="0">
      <alignment horizontal="left" vertical="center"/>
    </xf>
    <xf numFmtId="166" fontId="2" fillId="4" borderId="7" applyAlignment="1" pivotButton="0" quotePrefix="0" xfId="0">
      <alignment horizontal="left" vertical="center"/>
    </xf>
    <xf numFmtId="166" fontId="2" fillId="4" borderId="4" applyAlignment="1" pivotButton="0" quotePrefix="0" xfId="0">
      <alignment horizontal="left" vertical="center"/>
    </xf>
    <xf numFmtId="166" fontId="2" fillId="4" borderId="28" applyAlignment="1" pivotButton="0" quotePrefix="0" xfId="0">
      <alignment horizontal="left" vertical="center"/>
    </xf>
    <xf numFmtId="0" fontId="2" fillId="4" borderId="28" applyAlignment="1" pivotButton="0" quotePrefix="0" xfId="0">
      <alignment horizontal="left" vertical="center"/>
    </xf>
    <xf numFmtId="0" fontId="1" fillId="2" borderId="25" applyAlignment="1" pivotButton="0" quotePrefix="0" xfId="0">
      <alignment vertical="center"/>
    </xf>
    <xf numFmtId="165" fontId="2" fillId="4" borderId="28" applyAlignment="1" pivotButton="0" quotePrefix="0" xfId="0">
      <alignment horizontal="left" vertical="center"/>
    </xf>
    <xf numFmtId="14" fontId="2" fillId="4" borderId="28" applyAlignment="1" pivotButton="0" quotePrefix="0" xfId="0">
      <alignment horizontal="left" vertical="center"/>
    </xf>
    <xf numFmtId="0" fontId="1" fillId="0" borderId="27" applyAlignment="1" pivotButton="0" quotePrefix="0" xfId="0">
      <alignment horizontal="right" vertical="center"/>
    </xf>
    <xf numFmtId="165" fontId="2" fillId="4" borderId="30" applyAlignment="1" pivotButton="0" quotePrefix="0" xfId="0">
      <alignment vertical="center"/>
    </xf>
    <xf numFmtId="165" fontId="2" fillId="4" borderId="31" applyAlignment="1" pivotButton="0" quotePrefix="0" xfId="0">
      <alignment vertical="center"/>
    </xf>
    <xf numFmtId="0" fontId="2" fillId="4" borderId="31" applyAlignment="1" pivotButton="0" quotePrefix="0" xfId="0">
      <alignment vertical="center"/>
    </xf>
    <xf numFmtId="0" fontId="2" fillId="0" borderId="27" applyAlignment="1" pivotButton="0" quotePrefix="0" xfId="0">
      <alignment vertical="center"/>
    </xf>
    <xf numFmtId="0" fontId="3" fillId="0" borderId="25" applyAlignment="1" pivotButton="0" quotePrefix="0" xfId="0">
      <alignment vertical="center"/>
    </xf>
    <xf numFmtId="0" fontId="1" fillId="2" borderId="27" applyAlignment="1" pivotButton="0" quotePrefix="0" xfId="0">
      <alignment horizontal="left" vertical="center"/>
    </xf>
    <xf numFmtId="0" fontId="2" fillId="4" borderId="32" applyAlignment="1" pivotButton="0" quotePrefix="0" xfId="0">
      <alignment vertical="center"/>
    </xf>
    <xf numFmtId="0" fontId="2" fillId="4" borderId="28" applyAlignment="1" pivotButton="0" quotePrefix="0" xfId="0">
      <alignment vertical="center" wrapText="1"/>
    </xf>
  </cellXfs>
  <cellStyles count="1">
    <cellStyle name="Standard"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B2:F42"/>
  <sheetViews>
    <sheetView showGridLines="0" view="pageBreakPreview" zoomScale="124" zoomScaleNormal="104" zoomScaleSheetLayoutView="220" workbookViewId="0">
      <pane xSplit="2" ySplit="6" topLeftCell="C7" activePane="bottomRight" state="frozen"/>
      <selection pane="topRight" activeCell="C1" sqref="C1"/>
      <selection pane="bottomLeft" activeCell="A7" sqref="A7"/>
      <selection pane="bottomRight" activeCell="C7" sqref="C7"/>
    </sheetView>
  </sheetViews>
  <sheetFormatPr baseColWidth="10" defaultColWidth="11.453125" defaultRowHeight="14.5"/>
  <cols>
    <col width="3.81640625" customWidth="1" style="2" min="1" max="1"/>
    <col width="37.81640625" bestFit="1" customWidth="1" style="2" min="2" max="2"/>
    <col width="11.54296875" customWidth="1" style="2" min="3" max="3"/>
    <col width="12.81640625" customWidth="1" style="2" min="4" max="6"/>
    <col width="11.453125" customWidth="1" style="2" min="7" max="8"/>
    <col width="11.453125" customWidth="1" style="2" min="9" max="16384"/>
  </cols>
  <sheetData>
    <row r="2">
      <c r="B2" s="1" t="inlineStr">
        <is>
          <t>Übersicht Mietvertragskonditionen</t>
        </is>
      </c>
    </row>
    <row r="4">
      <c r="B4" s="3" t="inlineStr">
        <is>
          <t>Standort:</t>
        </is>
      </c>
      <c r="C4" s="25" t="inlineStr">
        <is>
          <t>Würselen (Target)</t>
        </is>
      </c>
      <c r="D4" s="25" t="inlineStr">
        <is>
          <t>Baesweiler (Bestand)</t>
        </is>
      </c>
      <c r="E4" s="47" t="inlineStr">
        <is>
          <t>Anmerkung / Quelle</t>
        </is>
      </c>
    </row>
    <row r="6">
      <c r="B6" s="4" t="inlineStr">
        <is>
          <t>Eckdaten der Immobilie</t>
        </is>
      </c>
      <c r="C6" s="5" t="n"/>
      <c r="D6" s="5" t="n"/>
      <c r="E6" s="5" t="n"/>
      <c r="F6" s="5" t="n"/>
    </row>
    <row r="7">
      <c r="B7" s="6" t="inlineStr">
        <is>
          <t>Eigentümer</t>
        </is>
      </c>
      <c r="C7" s="25" t="inlineStr">
        <is>
          <t>Beginen Kempe GbR</t>
        </is>
      </c>
      <c r="D7" s="25" t="inlineStr">
        <is>
          <t>Jans &amp; Willems GbR</t>
        </is>
      </c>
      <c r="E7" s="26" t="n"/>
      <c r="F7" s="26" t="n"/>
    </row>
    <row r="8">
      <c r="B8" s="6" t="inlineStr">
        <is>
          <t>Vermieter</t>
        </is>
      </c>
      <c r="C8" s="25" t="inlineStr">
        <is>
          <t>Beginen Kempe GbR</t>
        </is>
      </c>
      <c r="D8" s="25" t="inlineStr">
        <is>
          <t>Jans &amp; Willems GbR</t>
        </is>
      </c>
      <c r="E8" s="48" t="inlineStr">
        <is>
          <t>Würselen: ursprünglich Albert Beginen, Einbringung in die GbR per 1. Nachtrag</t>
        </is>
      </c>
      <c r="F8" s="26" t="n"/>
    </row>
    <row r="9">
      <c r="B9" s="6" t="inlineStr">
        <is>
          <t>Mieter</t>
        </is>
      </c>
      <c r="C9" s="25" t="inlineStr">
        <is>
          <t>AirHome Intensivpflege GmbH</t>
        </is>
      </c>
      <c r="D9" s="25" t="inlineStr">
        <is>
          <t>365° Pflegezentrum Marianne Weiß GmbH</t>
        </is>
      </c>
      <c r="E9" s="48" t="inlineStr">
        <is>
          <t>Baesweiler: opseo-Gruppe (Muttergesellschaft opseo Intensivpflege Holding B.V.)</t>
        </is>
      </c>
      <c r="F9" s="26" t="n"/>
    </row>
    <row r="10">
      <c r="B10" s="6" t="inlineStr">
        <is>
          <t>Cluster</t>
        </is>
      </c>
      <c r="C10" s="25" t="inlineStr">
        <is>
          <t>StädteRegion Aachen</t>
        </is>
      </c>
      <c r="D10" s="25" t="inlineStr">
        <is>
          <t>StädteRegion Aachen</t>
        </is>
      </c>
      <c r="E10" s="48" t="inlineStr">
        <is>
          <t>Cluster-Zuordnung bitte gegen interne Systematik prüfen</t>
        </is>
      </c>
      <c r="F10" s="26" t="n"/>
    </row>
    <row r="11">
      <c r="B11" s="6" t="inlineStr">
        <is>
          <t>Adresse</t>
        </is>
      </c>
      <c r="C11" s="25" t="inlineStr">
        <is>
          <t>Mauerfeldchen 27, 52146 Würselen</t>
        </is>
      </c>
      <c r="D11" s="25" t="inlineStr">
        <is>
          <t>Lessingstr. 3, 52499 Baesweiler</t>
        </is>
      </c>
      <c r="E11" s="26" t="n"/>
      <c r="F11" s="26" t="n"/>
    </row>
    <row r="12">
      <c r="B12" s="6" t="inlineStr">
        <is>
          <t>Expansion oder Replacement?</t>
        </is>
      </c>
      <c r="C12" s="25" t="inlineStr">
        <is>
          <t>XXX</t>
        </is>
      </c>
      <c r="D12" s="25" t="inlineStr">
        <is>
          <t>XXX</t>
        </is>
      </c>
      <c r="E12" s="48" t="inlineStr">
        <is>
          <t>Deal-Kategorie – nicht aus den Mietverträgen ableitbar</t>
        </is>
      </c>
      <c r="F12" s="26" t="n"/>
    </row>
    <row r="13">
      <c r="B13" s="6" t="inlineStr">
        <is>
          <t>Neubau oder Bestand? Baujahr?</t>
        </is>
      </c>
      <c r="C13" s="25" t="inlineStr">
        <is>
          <t>Bestand</t>
        </is>
      </c>
      <c r="D13" s="25" t="inlineStr">
        <is>
          <t>Bestand</t>
        </is>
      </c>
      <c r="E13" s="48" t="inlineStr">
        <is>
          <t>Würselen: Umbau/Erweiterung eines bestehenden Wohnheims (Werkplanung 2019). Baujahr in keinem Vertrag genannt.</t>
        </is>
      </c>
      <c r="F13" s="26" t="n"/>
    </row>
    <row r="14">
      <c r="B14" s="6" t="inlineStr">
        <is>
          <t>Lage der Mietfläche (z.B. EG, 1. OG)</t>
        </is>
      </c>
      <c r="C14" s="25" t="inlineStr">
        <is>
          <t>2., 3. und 1. OG; Keller</t>
        </is>
      </c>
      <c r="D14" s="25" t="inlineStr">
        <is>
          <t>XXX</t>
        </is>
      </c>
      <c r="E14" s="48" t="inlineStr">
        <is>
          <t>Würselen: die 59 qm liegen laut 1. Nachtrag im 4. OG. Baesweiler: Etagenlage im Vertrag nicht geregelt; EG-Wohnung nicht Mietgegenstand.</t>
        </is>
      </c>
      <c r="F14" s="26" t="n"/>
    </row>
    <row r="15">
      <c r="B15" s="6" t="inlineStr">
        <is>
          <t>Kapazität (Anzahl Betten)</t>
        </is>
      </c>
      <c r="C15" s="25" t="inlineStr">
        <is>
          <t>XXX</t>
        </is>
      </c>
      <c r="D15" s="25" t="n">
        <v>18</v>
      </c>
      <c r="E15" s="48" t="inlineStr">
        <is>
          <t>Würselen: Bettenzahl in keinem der 4 Dokumente genannt – vom Target anzufordern. Baesweiler: ca. 18 Patientenzimmer (§1.1); die NK-Kalkulation (250 €/Platz = 4.700 €) impliziert jedoch 18,8 Plätze.</t>
        </is>
      </c>
      <c r="F15" s="26" t="n"/>
    </row>
    <row r="16">
      <c r="B16" s="6" t="inlineStr">
        <is>
          <t>Beschreibung der Nutzung</t>
        </is>
      </c>
      <c r="C16" s="25" t="inlineStr">
        <is>
          <t>Wohnheim mit Intensivpflege</t>
        </is>
      </c>
      <c r="D16" s="25" t="inlineStr">
        <is>
          <t>Intensivpflege-Wohngemeinschaft</t>
        </is>
      </c>
      <c r="E16" s="26" t="n"/>
      <c r="F16" s="26" t="n"/>
    </row>
    <row r="17">
      <c r="B17" s="6" t="inlineStr">
        <is>
          <t>Bürofläche enthalten?</t>
        </is>
      </c>
      <c r="C17" s="25" t="inlineStr">
        <is>
          <t>nur Nebenflächen</t>
        </is>
      </c>
      <c r="D17" s="25" t="inlineStr">
        <is>
          <t>Ja</t>
        </is>
      </c>
      <c r="E17" s="48" t="inlineStr">
        <is>
          <t>Würselen: der Vertrag nennt nur "Nebenflächen", eine eigene Bürofläche ist nicht beziffert.</t>
        </is>
      </c>
      <c r="F17" s="26" t="n"/>
    </row>
    <row r="18">
      <c r="B18" s="6" t="n"/>
      <c r="C18" s="6" t="n"/>
      <c r="D18" s="6" t="n"/>
      <c r="E18" s="6" t="n"/>
      <c r="F18" s="6" t="n"/>
    </row>
    <row r="19">
      <c r="B19" s="4" t="inlineStr">
        <is>
          <t>Miete und weitere Kosten</t>
        </is>
      </c>
      <c r="C19" s="5" t="n"/>
      <c r="D19" s="5" t="n"/>
      <c r="E19" s="5" t="n"/>
      <c r="F19" s="5" t="n"/>
    </row>
    <row r="20">
      <c r="B20" s="6" t="inlineStr">
        <is>
          <t>Größe der Fläche (in qm)</t>
        </is>
      </c>
      <c r="C20" s="28" t="n">
        <v>1104.6</v>
      </c>
      <c r="D20" s="28" t="n">
        <v>1082</v>
      </c>
      <c r="E20" s="48" t="inlineStr">
        <is>
          <t>Würselen 1.104,60 qm (695,28 qm 2./3. OG + 350,32 qm 1. OG + 59,00 qm 4. OG); Keller 88,65 qm zusätzlich unter "Weitere Kosten". OFFEN: Läge die 59-qm-Fläche im 1. OG statt im 4. OG, wäre sie im "kompletten 1. OG" des 3. Nachtrags enthalten und doppelt gezählt – die Fläche wäre dann 1.045,60 qm bei unveränderter Miete. Baesweiler ca. 1.082 qm (§1.1).</t>
        </is>
      </c>
      <c r="F20" s="26" t="n"/>
    </row>
    <row r="21">
      <c r="B21" s="6" t="inlineStr">
        <is>
          <t>Nettokaltmiete/qm</t>
        </is>
      </c>
      <c r="C21" s="41" t="n">
        <v>12.5</v>
      </c>
      <c r="D21" s="41">
        <f>+D22/D20</f>
        <v/>
      </c>
      <c r="E21" s="48" t="inlineStr">
        <is>
          <t>Baesweiler ist eine Pauschalmiete (8.500 €); der qm-Preis ist rechnerisch abgeleitet, nicht vertraglich vereinbart.</t>
        </is>
      </c>
      <c r="F21" s="26" t="n"/>
    </row>
    <row r="22">
      <c r="B22" s="22" t="inlineStr">
        <is>
          <t>Nettokaltmiete pro Monat</t>
        </is>
      </c>
      <c r="C22" s="42">
        <f>+C21*C20</f>
        <v/>
      </c>
      <c r="D22" s="42" t="n">
        <v>8500</v>
      </c>
      <c r="E22" s="6" t="n"/>
      <c r="F22" s="6" t="n"/>
    </row>
    <row r="23">
      <c r="B23" s="22" t="inlineStr">
        <is>
          <t>Nettokaltmiete pro Jahr</t>
        </is>
      </c>
      <c r="C23" s="42">
        <f>+C22*12</f>
        <v/>
      </c>
      <c r="D23" s="42">
        <f>+D22*12</f>
        <v/>
      </c>
      <c r="E23" s="6" t="n"/>
      <c r="F23" s="6" t="n"/>
    </row>
    <row r="24">
      <c r="B24" s="6" t="inlineStr">
        <is>
          <t>Nebenkosten/qm</t>
        </is>
      </c>
      <c r="C24" s="41" t="n">
        <v>3.5</v>
      </c>
      <c r="D24" s="41">
        <f>+D25/D20</f>
        <v/>
      </c>
      <c r="E24" s="26" t="n"/>
      <c r="F24" s="26" t="n"/>
    </row>
    <row r="25">
      <c r="B25" s="22" t="inlineStr">
        <is>
          <t>Nebenkosten pro Monat</t>
        </is>
      </c>
      <c r="C25" s="42">
        <f>+C24*C20</f>
        <v/>
      </c>
      <c r="D25" s="42" t="n">
        <v>4700</v>
      </c>
      <c r="E25" s="49" t="inlineStr">
        <is>
          <t>Würselen 3.866,10 € rechnerisch; die Verträge weisen 3.866,12 € aus (Rundung der NK-Basis 754,28 qm auf 2.640,00 €). Baesweiler 250 €/Pflegeplatz, vertraglich mit 4.700 € beziffert (§4.2).</t>
        </is>
      </c>
      <c r="F25" s="6" t="n"/>
    </row>
    <row r="26">
      <c r="B26" s="22" t="inlineStr">
        <is>
          <t>Nebenkosten pro Jahr</t>
        </is>
      </c>
      <c r="C26" s="42">
        <f>+C25*12</f>
        <v/>
      </c>
      <c r="D26" s="42">
        <f>+D25*12</f>
        <v/>
      </c>
      <c r="E26" s="6" t="n"/>
      <c r="F26" s="6" t="n"/>
    </row>
    <row r="27">
      <c r="B27" s="6" t="inlineStr">
        <is>
          <t>Anzahl Stellplätze</t>
        </is>
      </c>
      <c r="C27" s="27" t="n">
        <v>14</v>
      </c>
      <c r="D27" s="27" t="n">
        <v>0</v>
      </c>
      <c r="E27" s="48" t="inlineStr">
        <is>
          <t>Würselen: 11 Außenstellplätze (6 à 30 €, 5 à 60 €) + 3 TG-Stellplätze à 60 € = 660 €/Monat; C28 ist der Mischpreis. Baesweiler: Stellplätze im Vertrag nicht geregelt.</t>
        </is>
      </c>
      <c r="F27" s="26" t="n"/>
    </row>
    <row r="28">
      <c r="B28" s="6" t="inlineStr">
        <is>
          <t>Preis pro Stellplatz</t>
        </is>
      </c>
      <c r="C28" s="41" t="n">
        <v>47.14285714285715</v>
      </c>
      <c r="D28" s="41" t="n">
        <v>0</v>
      </c>
      <c r="E28" s="26" t="n"/>
      <c r="F28" s="26" t="n"/>
    </row>
    <row r="29">
      <c r="B29" s="22" t="inlineStr">
        <is>
          <t>Kosten Stellplätze pro Monat</t>
        </is>
      </c>
      <c r="C29" s="42">
        <f>+C27*C28</f>
        <v/>
      </c>
      <c r="D29" s="42">
        <f>+D27*D28</f>
        <v/>
      </c>
      <c r="E29" s="6" t="n"/>
      <c r="F29" s="6" t="n"/>
    </row>
    <row r="30">
      <c r="B30" s="22" t="inlineStr">
        <is>
          <t>Kosten Stellplätze pro Jahr</t>
        </is>
      </c>
      <c r="C30" s="42">
        <f>+C29*12</f>
        <v/>
      </c>
      <c r="D30" s="42">
        <f>+D29*12</f>
        <v/>
      </c>
      <c r="E30" s="6" t="n"/>
      <c r="F30" s="6" t="n"/>
    </row>
    <row r="31">
      <c r="B31" s="6" t="inlineStr">
        <is>
          <t>Weitere Kosten (Terasse, Verwaltung etc.)</t>
        </is>
      </c>
      <c r="C31" s="25" t="inlineStr">
        <is>
          <t>Keller 443 €/Mon.; Statik 1. OG 600 €/Mon.</t>
        </is>
      </c>
      <c r="D31" s="25" t="inlineStr">
        <is>
          <t>Strom separat; Inventar gestellt</t>
        </is>
      </c>
      <c r="E31" s="26" t="n"/>
      <c r="F31" s="26" t="n"/>
    </row>
    <row r="32">
      <c r="B32" s="6" t="inlineStr">
        <is>
          <t>Baukostenzuschuss in €</t>
        </is>
      </c>
      <c r="C32" s="41" t="n">
        <v>0</v>
      </c>
      <c r="D32" s="41" t="n">
        <v>0</v>
      </c>
      <c r="E32" s="26" t="n"/>
      <c r="F32" s="26" t="n"/>
    </row>
    <row r="33">
      <c r="B33" s="6" t="inlineStr">
        <is>
          <t>Erläuterung Baukostenzuschuss</t>
        </is>
      </c>
      <c r="C33" s="25" t="inlineStr">
        <is>
          <t>kein BKZ; faktisch 600 €/Mon. für Statik</t>
        </is>
      </c>
      <c r="D33" s="25" t="inlineStr">
        <is>
          <t>kein BKZ; Inventar gestellt</t>
        </is>
      </c>
      <c r="E33" s="48" t="inlineStr">
        <is>
          <t>Würselen: die 600 €/Monat aus dem 3. Nachtrag laufen dauerhaft mit der Miete und wirken damit wie ein über die Laufzeit amortisierter Baukostenzuschuss (rd. 54.000 € bis Vertragsende).</t>
        </is>
      </c>
      <c r="F33" s="26" t="n"/>
    </row>
    <row r="34">
      <c r="B34" s="6" t="inlineStr">
        <is>
          <t>Capex</t>
        </is>
      </c>
      <c r="C34" s="41" t="n">
        <v>0</v>
      </c>
      <c r="D34" s="41" t="n">
        <v>0</v>
      </c>
      <c r="E34" s="48" t="inlineStr">
        <is>
          <t>Capex nicht aus Mietverträgen ableitbar – aus Target-Unterlagen zu ergänzen. Baesweiler tendenziell reduziert, da Inventar vermieterseitig gestellt.</t>
        </is>
      </c>
      <c r="F34" s="26" t="n"/>
    </row>
    <row r="35">
      <c r="B35" s="6" t="n"/>
      <c r="C35" s="6" t="n"/>
      <c r="D35" s="6" t="n"/>
      <c r="E35" s="6" t="n"/>
      <c r="F35" s="6" t="n"/>
    </row>
    <row r="36">
      <c r="B36" s="4" t="inlineStr">
        <is>
          <t>Laufzeit etc.</t>
        </is>
      </c>
      <c r="C36" s="5" t="n"/>
      <c r="D36" s="5" t="n"/>
      <c r="E36" s="5" t="n"/>
      <c r="F36" s="5" t="n"/>
    </row>
    <row r="37">
      <c r="B37" s="6" t="inlineStr">
        <is>
          <t>Geplanter Mietbeginn</t>
        </is>
      </c>
      <c r="C37" s="29" t="n">
        <v>44301</v>
      </c>
      <c r="D37" s="29" t="inlineStr">
        <is>
          <t>XXX</t>
        </is>
      </c>
      <c r="E37" s="48" t="inlineStr">
        <is>
          <t>Würselen – bestätigte Übergaben: 15.04.2021 (2./3. OG, 59 qm, 9 Stellplätze), 15.04.2022 (Keller Nr. 09, 2 Stellplätze). Nur vereinbarte Starttermine ohne Übergabebestätigung: 15.04.2023 (Keller 70 qm) und 15.10.2023 (1. OG, 3 Stellplätze; ausdrücklich nur "voraussichtlich"). ACHTUNG: Die hier angesetzte Gesamtmiete von 19.376,87 € gilt erst ab Übergabe des 1. OG – ohne diese liegt sie bei 12.991,75 €. Übergabeprotokoll beim Target anfordern. Laufzeitbeginn 01.05.2021 (§5.2). Baesweiler: Monatserster nach Vollzug des Kaufvertrags Kuijpers v. 17.03.2023 (§2.1) – Vollzugsdatum zu bestätigen.</t>
        </is>
      </c>
      <c r="F37" s="26" t="n"/>
    </row>
    <row r="38">
      <c r="B38" s="6" t="inlineStr">
        <is>
          <t>Festlaufzeit</t>
        </is>
      </c>
      <c r="C38" s="25" t="inlineStr">
        <is>
          <t>10 Jahre</t>
        </is>
      </c>
      <c r="D38" s="25" t="inlineStr">
        <is>
          <t>5 Jahre</t>
        </is>
      </c>
      <c r="E38" s="48" t="inlineStr">
        <is>
          <t>Würselen: §5.2 → Ende 30.04.2031, der 3. Nachtrag formuliert dagegen 14.04.2031. Baesweiler: WIDERSPRUCH – §2.2 schließt die Kündigung 5 Jahre aus, §2.3 räumt das Optionsrecht erst nach 10 Mietjahren ein, §4.1 fixiert die Miete für 10 Jahre. Klärungsbedarf.</t>
        </is>
      </c>
      <c r="F38" s="26" t="n"/>
    </row>
    <row r="39">
      <c r="B39" s="6" t="inlineStr">
        <is>
          <t>Verlängerungsoptionen</t>
        </is>
      </c>
      <c r="C39" s="25" t="inlineStr">
        <is>
          <t>2x 5 Jahre</t>
        </is>
      </c>
      <c r="D39" s="25" t="inlineStr">
        <is>
          <t>2x 5 Jahre</t>
        </is>
      </c>
      <c r="E39" s="26" t="n"/>
      <c r="F39" s="26" t="n"/>
    </row>
    <row r="40">
      <c r="B40" s="6" t="inlineStr">
        <is>
          <t>Wertsicherung (VPI/Staffelmiete etc.)</t>
        </is>
      </c>
      <c r="C40" s="25" t="inlineStr">
        <is>
          <t>VPI; 100% der Indexveränderung ab &gt;5%</t>
        </is>
      </c>
      <c r="D40" s="25" t="inlineStr">
        <is>
          <t>keine; Miete 10 Jahre fest</t>
        </is>
      </c>
      <c r="E40" s="26" t="n"/>
      <c r="F40" s="26" t="n"/>
    </row>
    <row r="41">
      <c r="B41" s="6" t="inlineStr">
        <is>
          <t>Mietsicherheit</t>
        </is>
      </c>
      <c r="C41" s="25" t="inlineStr">
        <is>
          <t>Bankbürgschaft, 3 Bruttomonatsmieten</t>
        </is>
      </c>
      <c r="D41" s="25" t="inlineStr">
        <is>
          <t>Patronatserklärung, 1 Jahreskaltmiete</t>
        </is>
      </c>
      <c r="E41" s="48" t="inlineStr">
        <is>
          <t>Würselen: der Betrag ist auf Basis der heutigen Gesamtmiete gerechnet. Gestellt wurde die Bürgschaft binnen 6 Monaten nach Vertragsschluss, also auf Basis von damals 12.428,50 € (= 37.285,50 €); eine Nachschusspflicht bei Flächenzuwachs enthalten die Verträge nicht. Tatsächliche Bürgschaftshöhe beim Target zu erfragen. Nach 5 Jahren störungsfreier Mietzeit Reduzierung um eine Gesamtzahlung möglich (1. Nachtrag).</t>
        </is>
      </c>
      <c r="F41" s="26" t="n"/>
    </row>
    <row r="42" ht="6.75" customHeight="1" thickBot="1">
      <c r="B42" s="7" t="n"/>
      <c r="C42" s="8" t="n"/>
      <c r="D42" s="7" t="n"/>
      <c r="E42" s="7" t="n"/>
      <c r="F42" s="7" t="n"/>
    </row>
  </sheetData>
  <pageMargins left="0.5118110236220472" right="0.5118110236220472" top="0.7874015748031497" bottom="0.7874015748031497" header="0.3149606299212598" footer="0.3149606299212598"/>
  <pageSetup orientation="portrait" paperSize="9"/>
</worksheet>
</file>

<file path=xl/worksheets/sheet2.xml><?xml version="1.0" encoding="utf-8"?>
<worksheet xmlns="http://schemas.openxmlformats.org/spreadsheetml/2006/main">
  <sheetPr>
    <outlinePr summaryBelow="1" summaryRight="1"/>
    <pageSetUpPr/>
  </sheetPr>
  <dimension ref="B2:L142"/>
  <sheetViews>
    <sheetView showGridLines="0" tabSelected="1" workbookViewId="0">
      <selection activeCell="H4" sqref="H4"/>
    </sheetView>
  </sheetViews>
  <sheetFormatPr baseColWidth="10" defaultColWidth="11.453125" defaultRowHeight="14.5"/>
  <cols>
    <col width="3.81640625" customWidth="1" style="2" min="1" max="1"/>
    <col width="44.26953125" customWidth="1" style="2" min="2" max="2"/>
    <col width="66.453125" customWidth="1" style="2" min="3" max="3"/>
    <col width="12.81640625" customWidth="1" style="2" min="4" max="6"/>
    <col width="35" customWidth="1" style="57" min="7" max="7"/>
    <col width="12.82" customWidth="1" style="2" min="8" max="8"/>
    <col width="11.453125" customWidth="1" style="2" min="9" max="16384"/>
  </cols>
  <sheetData>
    <row r="2">
      <c r="B2" s="1" t="inlineStr">
        <is>
          <t>Übersicht Mietvertragskonditionen</t>
        </is>
      </c>
      <c r="G2" s="59" t="n"/>
    </row>
    <row r="3">
      <c r="G3" s="59" t="n"/>
    </row>
    <row r="4">
      <c r="B4" s="3" t="inlineStr">
        <is>
          <t>Standort:</t>
        </is>
      </c>
      <c r="C4" s="60" t="inlineStr">
        <is>
          <t>Würselen (Target)</t>
        </is>
      </c>
      <c r="D4" s="61" t="n"/>
      <c r="E4" s="61" t="n"/>
      <c r="F4" s="62" t="n"/>
      <c r="G4" s="63" t="inlineStr">
        <is>
          <t>Baesweiler (Bestand)</t>
        </is>
      </c>
      <c r="H4" s="61" t="n"/>
      <c r="I4" s="61" t="n"/>
      <c r="J4" s="62" t="n"/>
    </row>
    <row r="5">
      <c r="G5" s="59" t="n"/>
    </row>
    <row r="6">
      <c r="B6" s="4" t="inlineStr">
        <is>
          <t>Eckdaten</t>
        </is>
      </c>
      <c r="C6" s="5" t="n"/>
      <c r="D6" s="5" t="n"/>
      <c r="E6" s="5" t="n"/>
      <c r="F6" s="5" t="n"/>
      <c r="G6" s="64" t="n"/>
      <c r="H6" s="5" t="n"/>
      <c r="I6" s="5" t="n"/>
      <c r="J6" s="5" t="n"/>
      <c r="L6" s="47" t="inlineStr">
        <is>
          <t>Anmerkung / Quelle</t>
        </is>
      </c>
    </row>
    <row r="7">
      <c r="B7" s="6" t="inlineStr">
        <is>
          <t>Eigentümer</t>
        </is>
      </c>
      <c r="C7" s="25" t="inlineStr">
        <is>
          <t>Beginen Kempe GbR</t>
        </is>
      </c>
      <c r="D7" s="26" t="n"/>
      <c r="E7" s="26" t="n"/>
      <c r="F7" s="26" t="n"/>
      <c r="G7" s="65" t="inlineStr">
        <is>
          <t>Jans &amp; Willems GbR</t>
        </is>
      </c>
      <c r="H7" s="26" t="n"/>
      <c r="I7" s="26" t="n"/>
      <c r="J7" s="26" t="n"/>
    </row>
    <row r="8">
      <c r="B8" s="6" t="inlineStr">
        <is>
          <t>Vermieter</t>
        </is>
      </c>
      <c r="C8" s="25" t="inlineStr">
        <is>
          <t>Beginen Kempe GbR</t>
        </is>
      </c>
      <c r="D8" s="26" t="n"/>
      <c r="E8" s="26" t="n"/>
      <c r="F8" s="26" t="n"/>
      <c r="G8" s="65" t="inlineStr">
        <is>
          <t>Jans &amp; Willems GbR</t>
        </is>
      </c>
      <c r="H8" s="26" t="n"/>
      <c r="I8" s="26" t="n"/>
      <c r="J8" s="26" t="n"/>
      <c r="L8" s="47" t="inlineStr">
        <is>
          <t>Baesweiler: Pfarrer-Hecker-Str. 33, 41849 Wassenberg, vertreten durch Werner Jans.</t>
        </is>
      </c>
    </row>
    <row r="9">
      <c r="B9" s="6" t="inlineStr">
        <is>
          <t>Mieter</t>
        </is>
      </c>
      <c r="C9" s="25" t="inlineStr">
        <is>
          <t>AirHome Intensivpflege GmbH</t>
        </is>
      </c>
      <c r="D9" s="26" t="n"/>
      <c r="E9" s="26" t="n"/>
      <c r="F9" s="26" t="n"/>
      <c r="G9" s="65" t="inlineStr">
        <is>
          <t>365° Pflegezentrum Marianne Weiß GmbH</t>
        </is>
      </c>
      <c r="H9" s="26" t="n"/>
      <c r="I9" s="26" t="n"/>
      <c r="J9" s="26" t="n"/>
      <c r="L9" s="47" t="inlineStr">
        <is>
          <t>Baesweiler: opseo-Gruppe; Sitz Alleestraße 68, 42853 Remscheid.</t>
        </is>
      </c>
    </row>
    <row r="10">
      <c r="B10" s="6" t="inlineStr">
        <is>
          <t>Adresse</t>
        </is>
      </c>
      <c r="C10" s="25" t="inlineStr">
        <is>
          <t>Mauerfeldchen 27, 52146 Würselen</t>
        </is>
      </c>
      <c r="D10" s="26" t="n"/>
      <c r="E10" s="26" t="n"/>
      <c r="F10" s="26" t="n"/>
      <c r="G10" s="65" t="inlineStr">
        <is>
          <t>Lessingstr. 3, 52499 Baesweiler</t>
        </is>
      </c>
      <c r="H10" s="26" t="n"/>
      <c r="I10" s="26" t="n"/>
      <c r="J10" s="26" t="n"/>
    </row>
    <row r="11">
      <c r="B11" s="6" t="inlineStr">
        <is>
          <t>Baujahr der Immobilie</t>
        </is>
      </c>
      <c r="C11" s="25" t="inlineStr">
        <is>
          <t>XXX</t>
        </is>
      </c>
      <c r="D11" s="26" t="n"/>
      <c r="E11" s="26" t="n"/>
      <c r="F11" s="26" t="n"/>
      <c r="G11" s="65" t="inlineStr">
        <is>
          <t>XXX</t>
        </is>
      </c>
      <c r="H11" s="26" t="n"/>
      <c r="I11" s="26" t="n"/>
      <c r="J11" s="26" t="n"/>
      <c r="L11" s="47" t="inlineStr">
        <is>
          <t>Baesweiler: Im Vertrag nicht genannt.</t>
        </is>
      </c>
    </row>
    <row r="12">
      <c r="B12" s="6" t="inlineStr">
        <is>
          <t>Mietzweck</t>
        </is>
      </c>
      <c r="C12" s="25" t="inlineStr">
        <is>
          <t>Wohnheim für Intesnivpflege mit Untervermietung</t>
        </is>
      </c>
      <c r="D12" s="26" t="n"/>
      <c r="E12" s="26" t="n"/>
      <c r="F12" s="26" t="n"/>
      <c r="G12" s="65" t="inlineStr">
        <is>
          <t>Intensivpflege-WG</t>
        </is>
      </c>
      <c r="H12" s="26" t="n"/>
      <c r="I12" s="26" t="n"/>
      <c r="J12" s="26" t="n"/>
    </row>
    <row r="13">
      <c r="B13" s="6" t="inlineStr">
        <is>
          <t>Festlaufzeit</t>
        </is>
      </c>
      <c r="C13" s="25" t="inlineStr">
        <is>
          <t>10 Jahre</t>
        </is>
      </c>
      <c r="D13" s="26" t="n"/>
      <c r="E13" s="26" t="n"/>
      <c r="F13" s="26" t="n"/>
      <c r="G13" s="65" t="inlineStr">
        <is>
          <t>5 Jahre</t>
        </is>
      </c>
      <c r="H13" s="26" t="n"/>
      <c r="I13" s="26" t="n"/>
      <c r="J13" s="26" t="n"/>
      <c r="L13" s="47" t="inlineStr">
        <is>
          <t>Würselen: 10 Jahre fest ab Übergabe.  |  Baesweiler: Vertrag läuft auf UNBESTIMMTE ZEIT, mit Kündigungsausschluss nur für die ersten 5 Mietjahre (§2.2). WIDERSPRUCH: §2.3 gewährt das Optionsrecht erst "nach Ablauf der ersten zehn Mietjahre", verlangt die Ausübung aber "6 Monate vor Ablauf der Festlaufzeit" – und Festlaufzeit ist in §2.2 als 5 Jahre definiert. §4.1 fixiert die Miete für 10 Jahre. Folge im Worst Case: ab Jahr 6 beidseitig mit 6 Monaten kündbar. Rechtlich prüfen lassen.</t>
        </is>
      </c>
    </row>
    <row r="14" ht="29" customHeight="1">
      <c r="B14" s="6" t="inlineStr">
        <is>
          <t>Verlängerungsoptionen</t>
        </is>
      </c>
      <c r="C14" s="50" t="inlineStr">
        <is>
          <t>2x 5 Jahre; 
automatische Verlängerung falls keine Kündigung 12 Monate vor Vertragsende erfolgt</t>
        </is>
      </c>
      <c r="D14" s="26" t="n"/>
      <c r="E14" s="26" t="n"/>
      <c r="F14" s="26" t="n"/>
      <c r="G14" s="86" t="inlineStr">
        <is>
          <t>2x 5 Jahre; 
nur auf aktive Ausübung, verlängert jeweils den Kündigungsausschluss</t>
        </is>
      </c>
      <c r="H14" s="26" t="n"/>
      <c r="I14" s="26" t="n"/>
      <c r="J14" s="26" t="n"/>
      <c r="L14" s="47" t="inlineStr">
        <is>
          <t>Würselen: Verlängerung tritt AUTOMATISCH ein, sofern der Mieter nicht 12 Monate vor Ablauf kündigt.  |  Baesweiler: keine Automatik. Der Vertrag läuft ohnehin auf unbestimmte Zeit weiter – die Option verlängert nicht die Laufzeit, sondern den Kündigungsausschluss um je 5 Jahre (§2.3). Wird sie nicht ausgeübt, bleibt der Vertrag bestehen, ist dann aber von beiden Seiten mit 6 Monaten kündbar. Wirtschaftlich zählt daher nur die gesicherte Laufzeit, nicht die unbefristete Fortsetzung.</t>
        </is>
      </c>
    </row>
    <row r="15">
      <c r="B15" s="6" t="inlineStr">
        <is>
          <t>Mietbeginn</t>
        </is>
      </c>
      <c r="C15" s="25" t="inlineStr">
        <is>
          <t>bei Übergabe; ggf. am Monatsersten des Folgemonats</t>
        </is>
      </c>
      <c r="D15" s="26" t="n"/>
      <c r="E15" s="26" t="n"/>
      <c r="F15" s="26" t="n"/>
      <c r="G15" s="65" t="inlineStr">
        <is>
          <t>Monatserster nach Vollzug des Kaufvertrags</t>
        </is>
      </c>
      <c r="H15" s="26" t="n"/>
      <c r="I15" s="26" t="n"/>
      <c r="J15" s="26" t="n"/>
      <c r="L15" s="47" t="inlineStr">
        <is>
          <t>Baesweiler: Vollzugsdatum des Kaufvertrags Kuijpers v. 17.03.2023 zu bestätigen.</t>
        </is>
      </c>
    </row>
    <row r="16">
      <c r="B16" s="6" t="inlineStr">
        <is>
          <t>Übergabezeitpunkt</t>
        </is>
      </c>
      <c r="C16" s="29" t="inlineStr">
        <is>
          <t>Schadensersatz bei zu später Übergabe (200 €/Tag, max. 3 Nettomonatsmieten).</t>
        </is>
      </c>
      <c r="D16" s="26" t="n"/>
      <c r="E16" s="26" t="n"/>
      <c r="F16" s="26" t="n"/>
      <c r="G16" s="65" t="inlineStr">
        <is>
          <t>keine Vertragsstrafe</t>
        </is>
      </c>
      <c r="H16" s="26" t="n"/>
      <c r="I16" s="26" t="n"/>
      <c r="J16" s="26" t="n"/>
      <c r="L16" s="47" t="inlineStr">
        <is>
          <t>Würselen: Schadensersatz 200 €/Kalendertag, gedeckelt auf 3 Nettomonatsmieten (§3.5).  |  Baesweiler: keinerlei Vertragsstrafe oder Schadensersatzregelung für verspätete Übergabe; Volltextsuche nach Vertragsstrafe/Pönale/Schadensersatz ohne Treffer.</t>
        </is>
      </c>
    </row>
    <row r="17" ht="29" customHeight="1">
      <c r="B17" s="6" t="inlineStr">
        <is>
          <t>Aufschiebende Bedingung / Rücktrittsrecht</t>
        </is>
      </c>
      <c r="C17" s="51" t="inlineStr">
        <is>
          <t>außerordentliche Kündigung bei &gt;3 Monate Verzug</t>
        </is>
      </c>
      <c r="D17" s="26" t="n"/>
      <c r="E17" s="26" t="n"/>
      <c r="F17" s="26" t="n"/>
      <c r="G17" s="65" t="inlineStr">
        <is>
          <t>Vollzug Kaufvertrag Kuijpers; kein Rücktrittsrecht</t>
        </is>
      </c>
      <c r="H17" s="26" t="n"/>
      <c r="I17" s="26" t="n"/>
      <c r="J17" s="26" t="n"/>
      <c r="L17" s="47" t="inlineStr">
        <is>
          <t>Würselen: keine aufschiebende Bedingung.  |  Baesweiler: der gesamte Mietvertrag steht unter der aufschiebenden Bedingung des Vollzugs (Closing) des Kauf- und Übertragungsvertrags über Kuijpers Ambulante Pflege GmbH und PWH GmbH &amp; Co. KG vom 17.03.2023. Ohne Closing wird der Mietvertrag nie wirksam (§158 Abs. 1 BGB) – das ist KEIN Rücktrittsrecht. Ein Rücktrittsrecht enthält der Vertrag nicht; das Sonderkündigungsrecht steht separat in §1.4.</t>
        </is>
      </c>
    </row>
    <row r="18">
      <c r="B18" s="6" t="inlineStr">
        <is>
          <t>Mietfreie Zeit</t>
        </is>
      </c>
      <c r="C18" s="25" t="inlineStr">
        <is>
          <t>keine</t>
        </is>
      </c>
      <c r="D18" s="26" t="n"/>
      <c r="E18" s="26" t="n"/>
      <c r="F18" s="26" t="n"/>
      <c r="G18" s="65" t="inlineStr">
        <is>
          <t>keine</t>
        </is>
      </c>
      <c r="H18" s="26" t="n"/>
      <c r="I18" s="26" t="n"/>
      <c r="J18" s="26" t="n"/>
    </row>
    <row r="19">
      <c r="B19" s="6" t="inlineStr">
        <is>
          <t>Wertsicherung (VPI)</t>
        </is>
      </c>
      <c r="C19" s="25" t="inlineStr">
        <is>
          <t xml:space="preserve">Anpassung um 100% der Indexveränderung, wenn Indexveränderung &gt;5% </t>
        </is>
      </c>
      <c r="D19" s="26" t="n"/>
      <c r="E19" s="26" t="n"/>
      <c r="F19" s="26" t="n"/>
      <c r="G19" s="65" t="inlineStr">
        <is>
          <t>keine; Miete 10 Jahre fest</t>
        </is>
      </c>
      <c r="H19" s="26" t="n"/>
      <c r="I19" s="26" t="n"/>
      <c r="J19" s="26" t="n"/>
      <c r="L19" s="47" t="inlineStr">
        <is>
          <t>Baesweiler: Deutlicher Vorteil gegenüber Würselen, das mit 100% der Indexveränderung ab &gt;5% indexiert ist.</t>
        </is>
      </c>
    </row>
    <row r="20">
      <c r="B20" s="6" t="inlineStr">
        <is>
          <t>Rückbauverpflichtung Mieter</t>
        </is>
      </c>
      <c r="C20" s="25" t="inlineStr">
        <is>
          <t>Ja</t>
        </is>
      </c>
      <c r="D20" s="26" t="n"/>
      <c r="E20" s="26" t="n"/>
      <c r="F20" s="26" t="n"/>
      <c r="G20" s="65" t="inlineStr">
        <is>
          <t>keine</t>
        </is>
      </c>
      <c r="H20" s="26" t="n"/>
      <c r="I20" s="26" t="n"/>
      <c r="J20" s="26" t="n"/>
      <c r="L20" s="47" t="inlineStr">
        <is>
          <t>Baesweiler: §15.1 stellt ausdrücklich klar, dass keine Rückbauverpflichtungen entstehen. Der Vermieter kann die Übernahme von Um-/Einbauten gegen Zeitwertentschädigung verlangen (§8.1.1).</t>
        </is>
      </c>
    </row>
    <row r="21">
      <c r="B21" s="6" t="inlineStr">
        <is>
          <t>Untervermietung</t>
        </is>
      </c>
      <c r="C21" s="25" t="inlineStr">
        <is>
          <t>Ja, an Patienten</t>
        </is>
      </c>
      <c r="D21" s="26" t="n"/>
      <c r="E21" s="26" t="n"/>
      <c r="F21" s="26" t="n"/>
      <c r="G21" s="65" t="inlineStr">
        <is>
          <t>Ja, zustimmungspflichtig</t>
        </is>
      </c>
      <c r="H21" s="26" t="n"/>
      <c r="I21" s="26" t="n"/>
      <c r="J21" s="26" t="n"/>
      <c r="L21" s="47" t="inlineStr">
        <is>
          <t>Baesweiler: Ohne Zustimmung zulässig an verbundene Unternehmen i.S.d. §§15 ff. AktG sowie an pflegebedürftige Bewohner (§6.1).</t>
        </is>
      </c>
    </row>
    <row r="22" ht="29.5" customHeight="1">
      <c r="B22" s="6" t="inlineStr">
        <is>
          <t>Mietsicherheit</t>
        </is>
      </c>
      <c r="C22" s="51" t="inlineStr">
        <is>
          <t>Bankbürgschaft: 3 Bruttomonatsmieten.</t>
        </is>
      </c>
      <c r="D22" s="52" t="n"/>
      <c r="E22" s="52" t="n"/>
      <c r="F22" s="52" t="n"/>
      <c r="G22" s="66" t="inlineStr">
        <is>
          <t>Patronatserklärung. Größenordnung: 1 Jahreskaltmiete.</t>
        </is>
      </c>
      <c r="H22" s="52" t="n"/>
      <c r="I22" s="52" t="n"/>
      <c r="J22" s="52" t="n"/>
      <c r="L22" s="47" t="inlineStr">
        <is>
          <t>Baesweiler: Patronatserklärung der Muttergesellschaft opseo Intensivpflege Holding B.V. = 102.000 €, binnen 4 Wochen nach Unterzeichnung (§5.1); Austausch bei Gesellschafterwechsel möglich (§5.3).</t>
        </is>
      </c>
    </row>
    <row r="23">
      <c r="B23" s="6" t="inlineStr">
        <is>
          <t>Konkurrenzschutz</t>
        </is>
      </c>
      <c r="C23" s="25" t="inlineStr">
        <is>
          <t>ja</t>
        </is>
      </c>
      <c r="D23" s="26" t="n"/>
      <c r="E23" s="26" t="n"/>
      <c r="F23" s="26" t="n"/>
      <c r="G23" s="65" t="inlineStr">
        <is>
          <t>nicht geregelt</t>
        </is>
      </c>
      <c r="H23" s="26" t="n"/>
      <c r="I23" s="26" t="n"/>
      <c r="J23" s="26" t="n"/>
      <c r="L23" s="47" t="inlineStr">
        <is>
          <t>Würselen: gewährt nur für den Betrieb eines Wohnheims mit Intensivpflege (§6.3), ausdrücklich NICHT für andere medizinische Intensivpflege jedweder Ausrichtung (§6.4) – die Ausnahme hebt die Zusage weitgehend wieder auf.  |  Baesweiler: im Vertrag nicht geregelt. Alle 21 Paragraphen geprüft, Volltextsuche nach Konkurrenz/Wettbewerb/Exklusivität ohne Treffer. ABER: ein vertragsimmanenter Konkurrenzschutz kann sich nach der Rechtsprechung auch ohne Klausel als Nebenpflicht des Vermieters ergeben – da er hier auch nicht ausgeschlossen wurde, ist das anwaltlich zu bewerten. Ein etwaiges Wettbewerbsverbot dürfte zudem eher im Kaufvertrag vom 17.03.2023 stehen, der uns nicht vorliegt.</t>
        </is>
      </c>
    </row>
    <row r="24">
      <c r="B24" s="6" t="inlineStr">
        <is>
          <t>Sonderkündigungsrecht</t>
        </is>
      </c>
      <c r="C24" s="25" t="inlineStr">
        <is>
          <t>keines</t>
        </is>
      </c>
      <c r="D24" s="26" t="n"/>
      <c r="E24" s="26" t="n"/>
      <c r="F24" s="26" t="n"/>
      <c r="G24" s="65" t="inlineStr">
        <is>
          <t>Ja, bei Nutzungsuntersagung</t>
        </is>
      </c>
      <c r="H24" s="26" t="n"/>
      <c r="I24" s="26" t="n"/>
      <c r="J24" s="26" t="n"/>
      <c r="L24" s="47" t="inlineStr">
        <is>
          <t>Baesweiler: Bei behördlicher Nutzungsuntersagung wegen des baulichen bzw. bau- und brandschutztechnischen Zustands, sofern der Vermieter sie nicht abwenden kann (§1.4).</t>
        </is>
      </c>
    </row>
    <row r="25">
      <c r="B25" s="6" t="inlineStr">
        <is>
          <t>Instandhaltung/Instandsetzung</t>
        </is>
      </c>
      <c r="C25" s="25" t="inlineStr">
        <is>
          <t>Dach und Fach beim Vermieter; Fläche beim Mieter</t>
        </is>
      </c>
      <c r="D25" s="26" t="n"/>
      <c r="E25" s="26" t="n"/>
      <c r="F25" s="26" t="n"/>
      <c r="G25" s="65" t="inlineStr">
        <is>
          <t>Dach und Fach beim Vermieter; Fläche beim Mieter</t>
        </is>
      </c>
      <c r="H25" s="26" t="n"/>
      <c r="I25" s="26" t="n"/>
      <c r="J25" s="26" t="n"/>
      <c r="L25" s="47" t="inlineStr">
        <is>
          <t>Baesweiler: Übrige Instandhaltung veranlasst der Vermieter, Kosten umgelegt bis max. 5% der jährlichen Nettokaltmiete (§7.2). Schönheitsreparaturen beim Mieter.</t>
        </is>
      </c>
    </row>
    <row r="26">
      <c r="B26" s="6" t="inlineStr">
        <is>
          <t>Besonderheiten / Sonstiges</t>
        </is>
      </c>
      <c r="C26" s="25" t="inlineStr">
        <is>
          <t>umsatzsteuerfrei; Nebenkosten zzgl. USt</t>
        </is>
      </c>
      <c r="D26" s="26" t="n"/>
      <c r="E26" s="26" t="n"/>
      <c r="F26" s="26" t="n"/>
      <c r="G26" s="65" t="inlineStr">
        <is>
          <t>Schlussabnahme fehlt; Inventar vermieterseitig gestellt</t>
        </is>
      </c>
      <c r="H26" s="26" t="n"/>
      <c r="I26" s="26" t="n"/>
      <c r="J26" s="26" t="n"/>
      <c r="L26" s="47" t="inlineStr">
        <is>
          <t>Baesweiler: RED FLAG: Schlussabnahmebescheinigung liegt nicht vor, Nachtragsgenehmigung seit 02.02.2022 beantragt (§1.1) – zusammen mit dem Sonderkündigungsrecht aus §1.4 zu bewerten. Eigener Stromliefervertrag mit Abnahmepflicht für PV-Strom (§4.2.2). Eintritt in bestehende Untermietverträge (§18). Verkehrssicherung und Winterdienst beim Mieter (§17). Keine USt auf die Miete (§4.1). Gerichtsstand Wassenberg.</t>
        </is>
      </c>
    </row>
    <row r="27" ht="6.75" customHeight="1" thickBot="1">
      <c r="B27" s="7" t="n"/>
      <c r="C27" s="8" t="n"/>
      <c r="D27" s="7" t="n"/>
      <c r="E27" s="7" t="n"/>
      <c r="F27" s="7" t="n"/>
      <c r="G27" s="67" t="n"/>
      <c r="H27" s="7" t="n"/>
      <c r="I27" s="7" t="n"/>
      <c r="J27" s="7" t="n"/>
    </row>
    <row r="28">
      <c r="G28" s="59" t="n"/>
    </row>
    <row r="29">
      <c r="B29" s="9" t="inlineStr">
        <is>
          <t>Benchmarks (Neubau)</t>
        </is>
      </c>
      <c r="C29" s="9" t="n"/>
      <c r="D29" s="9" t="n"/>
      <c r="E29" s="9" t="n"/>
      <c r="F29" s="9" t="n"/>
      <c r="G29" s="68" t="n"/>
      <c r="H29" s="9" t="n"/>
      <c r="I29" s="9" t="n"/>
      <c r="J29" s="9" t="n"/>
    </row>
    <row r="30">
      <c r="B30" s="6" t="inlineStr">
        <is>
          <t>Miete/m² (Neubau) - kein BKZ</t>
        </is>
      </c>
      <c r="C30" s="69" t="n">
        <v>20</v>
      </c>
      <c r="D30" s="26" t="n"/>
      <c r="E30" s="26" t="n"/>
      <c r="F30" s="26" t="n"/>
      <c r="G30" s="70" t="n">
        <v>20</v>
      </c>
      <c r="H30" s="26" t="n"/>
      <c r="I30" s="26" t="n"/>
      <c r="J30" s="26" t="n"/>
    </row>
    <row r="31">
      <c r="B31" s="6" t="inlineStr">
        <is>
          <t>Miete/m² inkl. BKZ</t>
        </is>
      </c>
      <c r="C31" s="69" t="n">
        <v>20</v>
      </c>
      <c r="D31" s="26" t="n"/>
      <c r="E31" s="26" t="n"/>
      <c r="F31" s="26" t="n"/>
      <c r="G31" s="70" t="n">
        <v>20</v>
      </c>
      <c r="H31" s="26" t="n"/>
      <c r="I31" s="26" t="n"/>
      <c r="J31" s="26" t="n"/>
    </row>
    <row r="32">
      <c r="B32" s="6" t="inlineStr">
        <is>
          <t>Nebenkosten/m²</t>
        </is>
      </c>
      <c r="C32" s="69" t="n">
        <v>3</v>
      </c>
      <c r="D32" s="26" t="n"/>
      <c r="E32" s="26" t="n"/>
      <c r="F32" s="26" t="n"/>
      <c r="G32" s="70" t="n">
        <v>3</v>
      </c>
      <c r="H32" s="26" t="n"/>
      <c r="I32" s="26" t="n"/>
      <c r="J32" s="26" t="n"/>
    </row>
    <row r="33">
      <c r="B33" s="6" t="inlineStr">
        <is>
          <t>Fläche pro Bett</t>
        </is>
      </c>
      <c r="C33" s="71" t="inlineStr">
        <is>
          <t>50m²</t>
        </is>
      </c>
      <c r="D33" s="72" t="inlineStr">
        <is>
          <t xml:space="preserve"> (d.h. 6er WG: 300m²; 12er WG: 600m²)</t>
        </is>
      </c>
      <c r="E33" s="26" t="n"/>
      <c r="F33" s="26" t="n"/>
      <c r="G33" s="73" t="inlineStr">
        <is>
          <t>50m²</t>
        </is>
      </c>
      <c r="H33" s="72" t="inlineStr">
        <is>
          <t xml:space="preserve"> (d.h. 6er WG: 300m²; 12er WG: 600m²)</t>
        </is>
      </c>
      <c r="I33" s="26" t="n"/>
      <c r="J33" s="26" t="n"/>
    </row>
    <row r="34">
      <c r="B34" s="6" t="inlineStr">
        <is>
          <t>Miete pro Bett pro Monat (exkl. Baukostenzuschuss)</t>
        </is>
      </c>
      <c r="C34" s="71" t="n">
        <v>1000</v>
      </c>
      <c r="D34" s="26" t="n"/>
      <c r="E34" s="26" t="n"/>
      <c r="F34" s="26" t="n"/>
      <c r="G34" s="73" t="n">
        <v>1000</v>
      </c>
      <c r="H34" s="26" t="n"/>
      <c r="I34" s="26" t="n"/>
      <c r="J34" s="26" t="n"/>
    </row>
    <row r="35">
      <c r="B35" s="6" t="inlineStr">
        <is>
          <t>Miete pro Bett pro Monat (inkl. BKZ über 10 Jahre)</t>
        </is>
      </c>
      <c r="C35" s="71">
        <f>+C34</f>
        <v/>
      </c>
      <c r="D35" s="26" t="n"/>
      <c r="E35" s="26" t="n"/>
      <c r="F35" s="26" t="n"/>
      <c r="G35" s="73">
        <f>+G34</f>
        <v/>
      </c>
      <c r="H35" s="26" t="n"/>
      <c r="I35" s="26" t="n"/>
      <c r="J35" s="26" t="n"/>
    </row>
    <row r="36">
      <c r="B36" s="6" t="inlineStr">
        <is>
          <t>Baukostenzuschuss pro Bett</t>
        </is>
      </c>
      <c r="C36" s="71" t="n">
        <v>0</v>
      </c>
      <c r="D36" s="72" t="n"/>
      <c r="E36" s="26" t="n"/>
      <c r="F36" s="26" t="n"/>
      <c r="G36" s="73" t="n">
        <v>0</v>
      </c>
      <c r="H36" s="72" t="n"/>
      <c r="I36" s="26" t="n"/>
      <c r="J36" s="26" t="n"/>
    </row>
    <row r="37">
      <c r="B37" s="6" t="inlineStr">
        <is>
          <t>Capex pro Bett (Möbel, Ausstattung, etc.)</t>
        </is>
      </c>
      <c r="C37" s="71" t="n">
        <v>30000</v>
      </c>
      <c r="D37" s="26" t="n"/>
      <c r="E37" s="26" t="n"/>
      <c r="F37" s="26" t="n"/>
      <c r="G37" s="73" t="n">
        <v>30000</v>
      </c>
      <c r="H37" s="26" t="n"/>
      <c r="I37" s="26" t="n"/>
      <c r="J37" s="26" t="n"/>
    </row>
    <row r="38">
      <c r="B38" s="6" t="inlineStr">
        <is>
          <t>Baukosten pro qm (Neubau)</t>
        </is>
      </c>
      <c r="C38" s="25" t="inlineStr">
        <is>
          <t>TBD</t>
        </is>
      </c>
      <c r="D38" s="26" t="n"/>
      <c r="E38" s="26" t="n"/>
      <c r="F38" s="26" t="n"/>
      <c r="G38" s="65" t="inlineStr">
        <is>
          <t>TBD</t>
        </is>
      </c>
      <c r="H38" s="26" t="n"/>
      <c r="I38" s="26" t="n"/>
      <c r="J38" s="26" t="n"/>
    </row>
    <row r="39">
      <c r="G39" s="59" t="n"/>
    </row>
    <row r="40">
      <c r="B40" s="9" t="inlineStr">
        <is>
          <t>Benchmarks (Bestand)</t>
        </is>
      </c>
      <c r="C40" s="9" t="n"/>
      <c r="D40" s="9" t="n"/>
      <c r="E40" s="9" t="n"/>
      <c r="F40" s="9" t="n"/>
      <c r="G40" s="68" t="n"/>
      <c r="H40" s="9" t="n"/>
      <c r="I40" s="9" t="n"/>
      <c r="J40" s="9" t="n"/>
    </row>
    <row r="41">
      <c r="B41" s="6" t="inlineStr">
        <is>
          <t>Miete/m² (Bestand) - kein BKZ</t>
        </is>
      </c>
      <c r="C41" s="69" t="n">
        <v>20</v>
      </c>
      <c r="D41" s="26" t="n"/>
      <c r="E41" s="26" t="n"/>
      <c r="F41" s="26" t="n"/>
      <c r="G41" s="70" t="n">
        <v>20</v>
      </c>
      <c r="H41" s="26" t="n"/>
      <c r="I41" s="26" t="n"/>
      <c r="J41" s="26" t="n"/>
    </row>
    <row r="42">
      <c r="B42" s="6" t="inlineStr">
        <is>
          <t>Miete/m² (Bestand) inkl. BKZ</t>
        </is>
      </c>
      <c r="C42" s="69" t="n">
        <v>25</v>
      </c>
      <c r="D42" s="26" t="n"/>
      <c r="E42" s="26" t="n"/>
      <c r="F42" s="26" t="n"/>
      <c r="G42" s="70" t="n">
        <v>25</v>
      </c>
      <c r="H42" s="26" t="n"/>
      <c r="I42" s="26" t="n"/>
      <c r="J42" s="26" t="n"/>
    </row>
    <row r="43">
      <c r="B43" s="6" t="inlineStr">
        <is>
          <t>Nebenkosten/m²</t>
        </is>
      </c>
      <c r="C43" s="69" t="n">
        <v>3</v>
      </c>
      <c r="D43" s="26" t="n"/>
      <c r="E43" s="26" t="n"/>
      <c r="F43" s="26" t="n"/>
      <c r="G43" s="70" t="n">
        <v>3</v>
      </c>
      <c r="H43" s="26" t="n"/>
      <c r="I43" s="26" t="n"/>
      <c r="J43" s="26" t="n"/>
    </row>
    <row r="44">
      <c r="B44" s="6" t="inlineStr">
        <is>
          <t>Fläche pro Bett</t>
        </is>
      </c>
      <c r="C44" s="71" t="inlineStr">
        <is>
          <t>50m²</t>
        </is>
      </c>
      <c r="D44" s="72" t="inlineStr">
        <is>
          <t xml:space="preserve"> (d.h. 6er WG: 300m²; 12er WG: 600m²)</t>
        </is>
      </c>
      <c r="E44" s="26" t="n"/>
      <c r="F44" s="26" t="n"/>
      <c r="G44" s="73" t="inlineStr">
        <is>
          <t>50m²</t>
        </is>
      </c>
      <c r="H44" s="72" t="inlineStr">
        <is>
          <t xml:space="preserve"> (d.h. 6er WG: 300m²; 12er WG: 600m²)</t>
        </is>
      </c>
      <c r="I44" s="26" t="n"/>
      <c r="J44" s="26" t="n"/>
    </row>
    <row r="45">
      <c r="B45" s="6" t="inlineStr">
        <is>
          <t>Miete pro Bett pro Monat (exkl. Baukostenzuschuss)</t>
        </is>
      </c>
      <c r="C45" s="71" t="n">
        <v>1000</v>
      </c>
      <c r="D45" s="26" t="n"/>
      <c r="E45" s="26" t="n"/>
      <c r="F45" s="26" t="n"/>
      <c r="G45" s="73" t="n">
        <v>1000</v>
      </c>
      <c r="H45" s="26" t="n"/>
      <c r="I45" s="26" t="n"/>
      <c r="J45" s="26" t="n"/>
    </row>
    <row r="46">
      <c r="B46" s="6" t="inlineStr">
        <is>
          <t>Miete pro Bett pro Monat (inkl. BKZ über 10 Jahre)</t>
        </is>
      </c>
      <c r="C46" s="71" t="n">
        <v>1250</v>
      </c>
      <c r="D46" s="26" t="n"/>
      <c r="E46" s="26" t="n"/>
      <c r="F46" s="26" t="n"/>
      <c r="G46" s="73" t="n">
        <v>1250</v>
      </c>
      <c r="H46" s="26" t="n"/>
      <c r="I46" s="26" t="n"/>
      <c r="J46" s="26" t="n"/>
    </row>
    <row r="47">
      <c r="B47" s="6" t="inlineStr">
        <is>
          <t>Baukostenzuschuss pro Bett</t>
        </is>
      </c>
      <c r="C47" s="71" t="n">
        <v>40000</v>
      </c>
      <c r="D47" s="72" t="inlineStr">
        <is>
          <t>(d.h. 6er WG: 180.000 €, 12er WG: 360.000 €)</t>
        </is>
      </c>
      <c r="E47" s="26" t="n"/>
      <c r="F47" s="26" t="n"/>
      <c r="G47" s="73" t="n">
        <v>40000</v>
      </c>
      <c r="H47" s="72" t="inlineStr">
        <is>
          <t>(d.h. 6er WG: 180.000 €, 12er WG: 360.000 €)</t>
        </is>
      </c>
      <c r="I47" s="26" t="n"/>
      <c r="J47" s="26" t="n"/>
    </row>
    <row r="48">
      <c r="B48" s="6" t="inlineStr">
        <is>
          <t>Capex pro Bett (Möbel, Ausstattung, etc.)</t>
        </is>
      </c>
      <c r="C48" s="71" t="n">
        <v>30000</v>
      </c>
      <c r="D48" s="26" t="n"/>
      <c r="E48" s="26" t="n"/>
      <c r="F48" s="26" t="n"/>
      <c r="G48" s="73" t="n">
        <v>30000</v>
      </c>
      <c r="H48" s="26" t="n"/>
      <c r="I48" s="26" t="n"/>
      <c r="J48" s="26" t="n"/>
    </row>
    <row r="49">
      <c r="B49" s="6" t="inlineStr">
        <is>
          <t>Baukosten pro qm (Neubau)</t>
        </is>
      </c>
      <c r="C49" s="27" t="n">
        <v>0</v>
      </c>
      <c r="D49" s="26" t="n"/>
      <c r="E49" s="26" t="n"/>
      <c r="F49" s="26" t="n"/>
      <c r="G49" s="74" t="n">
        <v>0</v>
      </c>
      <c r="H49" s="26" t="n"/>
      <c r="I49" s="26" t="n"/>
      <c r="J49" s="26" t="n"/>
    </row>
    <row r="50">
      <c r="G50" s="59" t="n"/>
    </row>
    <row r="51">
      <c r="B51" s="9" t="inlineStr">
        <is>
          <t>Mietkosten</t>
        </is>
      </c>
      <c r="C51" s="9" t="n"/>
      <c r="D51" s="9" t="n"/>
      <c r="E51" s="9" t="n"/>
      <c r="F51" s="9" t="n"/>
      <c r="G51" s="68" t="n"/>
      <c r="H51" s="9" t="n"/>
      <c r="I51" s="9" t="n"/>
      <c r="J51" s="9" t="n"/>
    </row>
    <row r="52">
      <c r="B52" s="10" t="inlineStr">
        <is>
          <t>Einheit 1</t>
        </is>
      </c>
      <c r="C52" s="10" t="n"/>
      <c r="D52" s="10" t="n"/>
      <c r="E52" s="10" t="n"/>
      <c r="F52" s="10" t="n"/>
      <c r="G52" s="75" t="n"/>
      <c r="H52" s="10" t="n"/>
      <c r="I52" s="10" t="n"/>
      <c r="J52" s="10" t="n"/>
    </row>
    <row r="53">
      <c r="B53" s="6" t="inlineStr">
        <is>
          <t>Art (z.B. WG, Büro, etc.)</t>
        </is>
      </c>
      <c r="C53" s="27" t="inlineStr">
        <is>
          <t>WG</t>
        </is>
      </c>
      <c r="D53" s="26" t="n"/>
      <c r="E53" s="26" t="n"/>
      <c r="F53" s="26" t="n"/>
      <c r="G53" s="74" t="inlineStr">
        <is>
          <t>WG (Intensivpflege-Wohngemeinschaft)</t>
        </is>
      </c>
      <c r="H53" s="26" t="n"/>
      <c r="I53" s="26" t="n"/>
      <c r="J53" s="26" t="n"/>
    </row>
    <row r="54">
      <c r="B54" s="6" t="inlineStr">
        <is>
          <t>Lage der Mietfläche (z.B. EG, 1. OG)</t>
        </is>
      </c>
      <c r="C54" s="27" t="inlineStr">
        <is>
          <t>2. und 3. OG</t>
        </is>
      </c>
      <c r="D54" s="26" t="n"/>
      <c r="E54" s="26" t="n"/>
      <c r="F54" s="26" t="n"/>
      <c r="G54" s="74" t="inlineStr">
        <is>
          <t>XXX</t>
        </is>
      </c>
      <c r="H54" s="26" t="n"/>
      <c r="I54" s="26" t="n"/>
      <c r="J54" s="26" t="n"/>
      <c r="L54" s="47" t="inlineStr">
        <is>
          <t>Baesweiler: Etagenlage im Vertrag nicht spezifiziert; Abstellräume im Kellergeschoss erfasst (§1.1). Die EG-Wohnung ist nicht Mietgegenstand (§9.3).</t>
        </is>
      </c>
    </row>
    <row r="55">
      <c r="B55" s="6" t="inlineStr">
        <is>
          <t>Kapazität (Anzahl Betten)</t>
        </is>
      </c>
      <c r="C55" s="27" t="inlineStr">
        <is>
          <t>XXX</t>
        </is>
      </c>
      <c r="D55" s="26" t="n"/>
      <c r="E55" s="26" t="n"/>
      <c r="F55" s="26" t="n"/>
      <c r="G55" s="74" t="n">
        <v>18</v>
      </c>
      <c r="H55" s="26" t="n"/>
      <c r="I55" s="26" t="n"/>
      <c r="J55" s="26" t="n"/>
      <c r="L55" s="47" t="inlineStr">
        <is>
          <t>Würselen: Bettenzahl in keinem der vier Dokumente genannt – vom Target anzufordern.  |  Baesweiler: ca. 18 Patientenzimmer (§1.1); die NK-Kalkulation (250 €/Platz = 4.700 €) impliziert 18,8 Plätze.</t>
        </is>
      </c>
    </row>
    <row r="56">
      <c r="B56" s="6" t="inlineStr">
        <is>
          <t>Größe der Fläche (in qm)</t>
        </is>
      </c>
      <c r="C56" s="28" t="n">
        <v>695.28</v>
      </c>
      <c r="D56" s="26" t="n"/>
      <c r="E56" s="26" t="n"/>
      <c r="F56" s="26" t="n"/>
      <c r="G56" s="76" t="n">
        <v>1082</v>
      </c>
      <c r="H56" s="26" t="n"/>
      <c r="I56" s="26" t="n"/>
      <c r="J56" s="26" t="n"/>
    </row>
    <row r="57">
      <c r="B57" s="6" t="inlineStr">
        <is>
          <t>Mietbeginn (falls abweichned)</t>
        </is>
      </c>
      <c r="C57" s="29" t="n">
        <v>44301</v>
      </c>
      <c r="D57" s="26" t="n"/>
      <c r="E57" s="26" t="n"/>
      <c r="F57" s="26" t="n"/>
      <c r="G57" s="77" t="inlineStr">
        <is>
          <t>XXX</t>
        </is>
      </c>
      <c r="H57" s="26" t="n"/>
      <c r="I57" s="26" t="n"/>
      <c r="J57" s="26" t="n"/>
    </row>
    <row r="58">
      <c r="G58" s="59" t="n"/>
    </row>
    <row r="59">
      <c r="B59" s="11" t="inlineStr">
        <is>
          <t>Kosten Einheit 1</t>
        </is>
      </c>
      <c r="C59" s="12" t="inlineStr">
        <is>
          <t>Anzahl</t>
        </is>
      </c>
      <c r="D59" s="12" t="inlineStr">
        <is>
          <t>€ pro Einheit</t>
        </is>
      </c>
      <c r="E59" s="12" t="inlineStr">
        <is>
          <t>€ pro Monat</t>
        </is>
      </c>
      <c r="F59" s="12" t="inlineStr">
        <is>
          <t>€ pro Jahr</t>
        </is>
      </c>
      <c r="G59" s="78" t="inlineStr">
        <is>
          <t>Anzahl</t>
        </is>
      </c>
      <c r="H59" s="12" t="inlineStr">
        <is>
          <t>€ pro Einheit</t>
        </is>
      </c>
      <c r="I59" s="12" t="inlineStr">
        <is>
          <t>€ pro Monat</t>
        </is>
      </c>
      <c r="J59" s="12" t="inlineStr">
        <is>
          <t>€ pro Jahr</t>
        </is>
      </c>
    </row>
    <row r="60">
      <c r="B60" s="2" t="inlineStr">
        <is>
          <t>Nettokaltmiete</t>
        </is>
      </c>
      <c r="C60" s="30" t="n">
        <v>695.28</v>
      </c>
      <c r="D60" s="31" t="n">
        <v>12.5</v>
      </c>
      <c r="E60" s="13">
        <f>+C60*D60</f>
        <v/>
      </c>
      <c r="F60" s="13">
        <f>+E60*12</f>
        <v/>
      </c>
      <c r="G60" s="79" t="n">
        <v>1082</v>
      </c>
      <c r="H60" s="31" t="n">
        <v>7.855822550831793</v>
      </c>
      <c r="I60" s="13">
        <f>+G60*H60</f>
        <v/>
      </c>
      <c r="J60" s="13">
        <f>+I60*12</f>
        <v/>
      </c>
      <c r="L60" s="47" t="inlineStr">
        <is>
          <t>Baesweiler: Pauschalmiete 8.500 € bzw. NK-Pauschale 4.700 €; die qm-Preise sind rechnerisch abgeleitet.</t>
        </is>
      </c>
    </row>
    <row r="61">
      <c r="B61" s="6" t="inlineStr">
        <is>
          <t>Nebenkostenpauschale</t>
        </is>
      </c>
      <c r="C61" s="32">
        <f>+C60</f>
        <v/>
      </c>
      <c r="D61" s="33" t="n">
        <v>3.5</v>
      </c>
      <c r="E61" s="13">
        <f>+C61*D61</f>
        <v/>
      </c>
      <c r="F61" s="13">
        <f>+E61*12</f>
        <v/>
      </c>
      <c r="G61" s="80">
        <f>+G60</f>
        <v/>
      </c>
      <c r="H61" s="33" t="n">
        <v>4.343807763401109</v>
      </c>
      <c r="I61" s="13">
        <f>+G61*H61</f>
        <v/>
      </c>
      <c r="J61" s="13">
        <f>+I61*12</f>
        <v/>
      </c>
    </row>
    <row r="62">
      <c r="B62" s="6" t="inlineStr">
        <is>
          <t>Stellplätze</t>
        </is>
      </c>
      <c r="C62" s="34" t="n">
        <v>11</v>
      </c>
      <c r="D62" s="33" t="n">
        <v>43.63636363636363</v>
      </c>
      <c r="E62" s="13">
        <f>+C62*D62</f>
        <v/>
      </c>
      <c r="F62" s="13">
        <f>+E62*12</f>
        <v/>
      </c>
      <c r="G62" s="81" t="n">
        <v>0</v>
      </c>
      <c r="H62" s="33" t="n">
        <v>0</v>
      </c>
      <c r="I62" s="13">
        <f>+G62*H62</f>
        <v/>
      </c>
      <c r="J62" s="13">
        <f>+I62*12</f>
        <v/>
      </c>
    </row>
    <row r="63">
      <c r="B63" s="6" t="inlineStr">
        <is>
          <t>Terasse</t>
        </is>
      </c>
      <c r="C63" s="32" t="n">
        <v>0</v>
      </c>
      <c r="D63" s="33" t="n">
        <v>0</v>
      </c>
      <c r="E63" s="13">
        <f>+C63*D63</f>
        <v/>
      </c>
      <c r="F63" s="13">
        <f>+E63*12</f>
        <v/>
      </c>
      <c r="G63" s="80" t="n">
        <v>0</v>
      </c>
      <c r="H63" s="33" t="n">
        <v>0</v>
      </c>
      <c r="I63" s="13">
        <f>+G63*H63</f>
        <v/>
      </c>
      <c r="J63" s="13">
        <f>+I63*12</f>
        <v/>
      </c>
    </row>
    <row r="64">
      <c r="B64" s="6" t="inlineStr">
        <is>
          <t>Keller</t>
        </is>
      </c>
      <c r="C64" s="32" t="n">
        <v>18.65</v>
      </c>
      <c r="D64" s="33" t="n">
        <v>5</v>
      </c>
      <c r="E64" s="13">
        <f>+C64*D64</f>
        <v/>
      </c>
      <c r="F64" s="13">
        <f>+E64*12</f>
        <v/>
      </c>
      <c r="G64" s="80" t="n">
        <v>0</v>
      </c>
      <c r="H64" s="33" t="n">
        <v>0</v>
      </c>
      <c r="I64" s="13">
        <f>+G64*H64</f>
        <v/>
      </c>
      <c r="J64" s="13">
        <f>+I64*12</f>
        <v/>
      </c>
    </row>
    <row r="65">
      <c r="B65" s="6" t="inlineStr">
        <is>
          <t>Sonstiges</t>
        </is>
      </c>
      <c r="C65" s="34" t="n">
        <v>0</v>
      </c>
      <c r="D65" s="33" t="n">
        <v>0</v>
      </c>
      <c r="E65" s="13">
        <f>+C65*D65</f>
        <v/>
      </c>
      <c r="F65" s="13">
        <f>+E65*12</f>
        <v/>
      </c>
      <c r="G65" s="81" t="n">
        <v>0</v>
      </c>
      <c r="H65" s="33" t="n">
        <v>0</v>
      </c>
      <c r="I65" s="13">
        <f>+G65*H65</f>
        <v/>
      </c>
      <c r="J65" s="13">
        <f>+I65*12</f>
        <v/>
      </c>
    </row>
    <row r="66" ht="8.25" customHeight="1">
      <c r="B66" s="14" t="n"/>
      <c r="C66" s="15" t="n"/>
      <c r="D66" s="16" t="n"/>
      <c r="E66" s="17" t="n"/>
      <c r="F66" s="17" t="n"/>
      <c r="G66" s="82" t="n"/>
      <c r="H66" s="16" t="n"/>
      <c r="I66" s="17" t="n"/>
      <c r="J66" s="17" t="n"/>
    </row>
    <row r="67" customFormat="1" s="1">
      <c r="B67" s="1" t="inlineStr">
        <is>
          <t>Summe</t>
        </is>
      </c>
      <c r="C67" s="18" t="n"/>
      <c r="D67" s="19" t="n"/>
      <c r="E67" s="20">
        <f>+SUM(E60:E66)</f>
        <v/>
      </c>
      <c r="F67" s="20">
        <f>+SUM(F60:F66)</f>
        <v/>
      </c>
      <c r="G67" s="83" t="n"/>
      <c r="H67" s="19" t="n"/>
      <c r="I67" s="20">
        <f>+SUM(I60:I66)</f>
        <v/>
      </c>
      <c r="J67" s="20">
        <f>+SUM(J60:J66)</f>
        <v/>
      </c>
    </row>
    <row r="68" ht="6.75" customHeight="1" thickBot="1">
      <c r="B68" s="7" t="n"/>
      <c r="C68" s="8" t="n"/>
      <c r="D68" s="7" t="n"/>
      <c r="E68" s="7" t="n"/>
      <c r="F68" s="7" t="n"/>
      <c r="G68" s="67" t="n"/>
      <c r="H68" s="7" t="n"/>
      <c r="I68" s="7" t="n"/>
      <c r="J68" s="7" t="n"/>
    </row>
    <row r="69">
      <c r="G69" s="59" t="n"/>
    </row>
    <row r="70">
      <c r="B70" s="10" t="inlineStr">
        <is>
          <t>Einheit 2</t>
        </is>
      </c>
      <c r="C70" s="10" t="n"/>
      <c r="D70" s="10" t="n"/>
      <c r="E70" s="10" t="n"/>
      <c r="F70" s="10" t="n"/>
      <c r="G70" s="75" t="n"/>
      <c r="H70" s="10" t="n"/>
      <c r="I70" s="10" t="n"/>
      <c r="J70" s="10" t="n"/>
    </row>
    <row r="71">
      <c r="B71" s="6" t="inlineStr">
        <is>
          <t>Art (z.B. WG, Büro, etc.)</t>
        </is>
      </c>
      <c r="C71" s="27" t="inlineStr">
        <is>
          <t>WG</t>
        </is>
      </c>
      <c r="D71" s="26" t="n"/>
      <c r="E71" s="26" t="n"/>
      <c r="F71" s="26" t="n"/>
      <c r="G71" s="74" t="inlineStr">
        <is>
          <t>entfällt</t>
        </is>
      </c>
      <c r="H71" s="26" t="n"/>
      <c r="I71" s="26" t="n"/>
      <c r="J71" s="26" t="n"/>
    </row>
    <row r="72">
      <c r="B72" s="6" t="inlineStr">
        <is>
          <t>Lage der Mietfläche (z.B. EG, 1. OG)</t>
        </is>
      </c>
      <c r="C72" s="27" t="inlineStr">
        <is>
          <t>1. OG (komplett)</t>
        </is>
      </c>
      <c r="D72" s="26" t="n"/>
      <c r="E72" s="26" t="n"/>
      <c r="F72" s="26" t="n"/>
      <c r="G72" s="74" t="n"/>
      <c r="H72" s="26" t="n"/>
      <c r="I72" s="26" t="n"/>
      <c r="J72" s="26" t="n"/>
    </row>
    <row r="73">
      <c r="B73" s="6" t="inlineStr">
        <is>
          <t>Kapazität (Anzahl Betten)</t>
        </is>
      </c>
      <c r="C73" s="27" t="inlineStr">
        <is>
          <t>XXX</t>
        </is>
      </c>
      <c r="D73" s="26" t="n"/>
      <c r="E73" s="26" t="n"/>
      <c r="F73" s="26" t="n"/>
      <c r="G73" s="74" t="n">
        <v>0</v>
      </c>
      <c r="H73" s="26" t="n"/>
      <c r="I73" s="26" t="n"/>
      <c r="J73" s="26" t="n"/>
      <c r="L73" s="47" t="inlineStr">
        <is>
          <t>Würselen: Skizze Anlage N 3-1 sieht 5 Bewohner-Apartments vor.</t>
        </is>
      </c>
    </row>
    <row r="74">
      <c r="B74" s="6" t="inlineStr">
        <is>
          <t>Größe der Fläche (in qm)</t>
        </is>
      </c>
      <c r="C74" s="28" t="n">
        <v>350.32</v>
      </c>
      <c r="D74" s="26" t="n"/>
      <c r="E74" s="26" t="n"/>
      <c r="F74" s="26" t="n"/>
      <c r="G74" s="76" t="n">
        <v>0</v>
      </c>
      <c r="H74" s="26" t="n"/>
      <c r="I74" s="26" t="n"/>
      <c r="J74" s="26" t="n"/>
    </row>
    <row r="75">
      <c r="B75" s="6" t="inlineStr">
        <is>
          <t>Mietbeginn (falls abweichned)</t>
        </is>
      </c>
      <c r="C75" s="29" t="inlineStr">
        <is>
          <t>15.10.2023 (1. OG); Keller 70 qm ab 15.04.2023</t>
        </is>
      </c>
      <c r="D75" s="26" t="n"/>
      <c r="E75" s="26" t="n"/>
      <c r="F75" s="26" t="n"/>
      <c r="G75" s="77" t="n"/>
      <c r="H75" s="26" t="n"/>
      <c r="I75" s="26" t="n"/>
      <c r="J75" s="26" t="n"/>
    </row>
    <row r="76">
      <c r="G76" s="59" t="n"/>
    </row>
    <row r="77">
      <c r="B77" s="11" t="inlineStr">
        <is>
          <t>Kosten Einheit 2</t>
        </is>
      </c>
      <c r="C77" s="12" t="inlineStr">
        <is>
          <t>Anzahl</t>
        </is>
      </c>
      <c r="D77" s="12" t="inlineStr">
        <is>
          <t>€ pro Einheit</t>
        </is>
      </c>
      <c r="E77" s="12" t="inlineStr">
        <is>
          <t>€ pro Monat</t>
        </is>
      </c>
      <c r="F77" s="12" t="inlineStr">
        <is>
          <t>€ pro Jahr</t>
        </is>
      </c>
      <c r="G77" s="78" t="inlineStr">
        <is>
          <t>Anzahl</t>
        </is>
      </c>
      <c r="H77" s="12" t="inlineStr">
        <is>
          <t>€ pro Einheit</t>
        </is>
      </c>
      <c r="I77" s="12" t="inlineStr">
        <is>
          <t>€ pro Monat</t>
        </is>
      </c>
      <c r="J77" s="12" t="inlineStr">
        <is>
          <t>€ pro Jahr</t>
        </is>
      </c>
    </row>
    <row r="78">
      <c r="B78" s="2" t="inlineStr">
        <is>
          <t>Nettokaltmiete</t>
        </is>
      </c>
      <c r="C78" s="30" t="n">
        <v>350.32</v>
      </c>
      <c r="D78" s="31" t="n">
        <v>12.5</v>
      </c>
      <c r="E78" s="13">
        <f>+C78*D78</f>
        <v/>
      </c>
      <c r="F78" s="13">
        <f>+E78*12</f>
        <v/>
      </c>
      <c r="G78" s="79" t="n">
        <v>0</v>
      </c>
      <c r="H78" s="31" t="n">
        <v>0</v>
      </c>
      <c r="I78" s="13">
        <f>+G78*H78</f>
        <v/>
      </c>
      <c r="J78" s="13">
        <f>+I78*12</f>
        <v/>
      </c>
    </row>
    <row r="79">
      <c r="B79" s="6" t="inlineStr">
        <is>
          <t>Nebenkostenpauschale</t>
        </is>
      </c>
      <c r="C79" s="32">
        <f>+C78</f>
        <v/>
      </c>
      <c r="D79" s="33" t="n">
        <v>3.5</v>
      </c>
      <c r="E79" s="13">
        <f>+C79*D79</f>
        <v/>
      </c>
      <c r="F79" s="13">
        <f>+E79*12</f>
        <v/>
      </c>
      <c r="G79" s="80">
        <f>+G78</f>
        <v/>
      </c>
      <c r="H79" s="33" t="n">
        <v>0</v>
      </c>
      <c r="I79" s="13">
        <f>+G79*H79</f>
        <v/>
      </c>
      <c r="J79" s="13">
        <f>+I79*12</f>
        <v/>
      </c>
    </row>
    <row r="80">
      <c r="B80" s="6" t="inlineStr">
        <is>
          <t>Stellplätze</t>
        </is>
      </c>
      <c r="C80" s="34" t="n">
        <v>3</v>
      </c>
      <c r="D80" s="33" t="n">
        <v>60</v>
      </c>
      <c r="E80" s="13">
        <f>+C80*D80</f>
        <v/>
      </c>
      <c r="F80" s="13">
        <f>+E80*12</f>
        <v/>
      </c>
      <c r="G80" s="81" t="n">
        <v>0</v>
      </c>
      <c r="H80" s="33" t="n">
        <v>0</v>
      </c>
      <c r="I80" s="13">
        <f>+G80*H80</f>
        <v/>
      </c>
      <c r="J80" s="13">
        <f>+I80*12</f>
        <v/>
      </c>
    </row>
    <row r="81">
      <c r="B81" s="6" t="inlineStr">
        <is>
          <t>Terasse</t>
        </is>
      </c>
      <c r="C81" s="32" t="n">
        <v>0</v>
      </c>
      <c r="D81" s="33" t="n">
        <v>0</v>
      </c>
      <c r="E81" s="13">
        <f>+C81*D81</f>
        <v/>
      </c>
      <c r="F81" s="13">
        <f>+E81*12</f>
        <v/>
      </c>
      <c r="G81" s="80" t="n">
        <v>0</v>
      </c>
      <c r="H81" s="33" t="n">
        <v>0</v>
      </c>
      <c r="I81" s="13">
        <f>+G81*H81</f>
        <v/>
      </c>
      <c r="J81" s="13">
        <f>+I81*12</f>
        <v/>
      </c>
    </row>
    <row r="82">
      <c r="B82" s="6" t="inlineStr">
        <is>
          <t>Keller</t>
        </is>
      </c>
      <c r="C82" s="32" t="n">
        <v>70</v>
      </c>
      <c r="D82" s="33" t="n">
        <v>5</v>
      </c>
      <c r="E82" s="13">
        <f>+C82*D82</f>
        <v/>
      </c>
      <c r="F82" s="13">
        <f>+E82*12</f>
        <v/>
      </c>
      <c r="G82" s="80" t="n">
        <v>0</v>
      </c>
      <c r="H82" s="33" t="n">
        <v>0</v>
      </c>
      <c r="I82" s="13">
        <f>+G82*H82</f>
        <v/>
      </c>
      <c r="J82" s="13">
        <f>+I82*12</f>
        <v/>
      </c>
    </row>
    <row r="83">
      <c r="B83" s="6" t="inlineStr">
        <is>
          <t>Sonstiges</t>
        </is>
      </c>
      <c r="C83" s="34" t="n">
        <v>1</v>
      </c>
      <c r="D83" s="33" t="n">
        <v>600</v>
      </c>
      <c r="E83" s="13">
        <f>+C83*D83</f>
        <v/>
      </c>
      <c r="F83" s="13">
        <f>+E83*12</f>
        <v/>
      </c>
      <c r="G83" s="81" t="n">
        <v>0</v>
      </c>
      <c r="H83" s="33" t="n">
        <v>0</v>
      </c>
      <c r="I83" s="13">
        <f>+G83*H83</f>
        <v/>
      </c>
      <c r="J83" s="13">
        <f>+I83*12</f>
        <v/>
      </c>
    </row>
    <row r="84" ht="8.25" customHeight="1">
      <c r="B84" s="14" t="n"/>
      <c r="C84" s="15" t="n"/>
      <c r="D84" s="16" t="n"/>
      <c r="E84" s="17" t="n"/>
      <c r="F84" s="17" t="n"/>
      <c r="G84" s="82" t="n"/>
      <c r="H84" s="16" t="n"/>
      <c r="I84" s="17" t="n"/>
      <c r="J84" s="17" t="n"/>
    </row>
    <row r="85" customFormat="1" s="1">
      <c r="B85" s="1" t="inlineStr">
        <is>
          <t>Summe</t>
        </is>
      </c>
      <c r="C85" s="18" t="n"/>
      <c r="D85" s="19" t="n"/>
      <c r="E85" s="20">
        <f>+SUM(E78:E84)</f>
        <v/>
      </c>
      <c r="F85" s="20">
        <f>+SUM(F78:F84)</f>
        <v/>
      </c>
      <c r="G85" s="83" t="n"/>
      <c r="H85" s="19" t="n"/>
      <c r="I85" s="20">
        <f>+SUM(I78:I84)</f>
        <v/>
      </c>
      <c r="J85" s="20">
        <f>+SUM(J78:J84)</f>
        <v/>
      </c>
    </row>
    <row r="86" ht="6.75" customHeight="1" thickBot="1">
      <c r="B86" s="7" t="n"/>
      <c r="C86" s="8" t="n"/>
      <c r="D86" s="7" t="n"/>
      <c r="E86" s="7" t="n"/>
      <c r="F86" s="7" t="n"/>
      <c r="G86" s="67" t="n"/>
      <c r="H86" s="7" t="n"/>
      <c r="I86" s="7" t="n"/>
      <c r="J86" s="7" t="n"/>
    </row>
    <row r="87">
      <c r="G87" s="59" t="n"/>
    </row>
    <row r="88">
      <c r="B88" s="10" t="inlineStr">
        <is>
          <t>Einheit 3</t>
        </is>
      </c>
      <c r="C88" s="10" t="n"/>
      <c r="D88" s="10" t="n"/>
      <c r="E88" s="10" t="n"/>
      <c r="F88" s="10" t="n"/>
      <c r="G88" s="75" t="n"/>
      <c r="H88" s="10" t="n"/>
      <c r="I88" s="10" t="n"/>
      <c r="J88" s="10" t="n"/>
    </row>
    <row r="89">
      <c r="B89" s="6" t="inlineStr">
        <is>
          <t>Art (z.B. WG, Büro, etc.)</t>
        </is>
      </c>
      <c r="C89" s="27" t="inlineStr">
        <is>
          <t>Nebenfläche</t>
        </is>
      </c>
      <c r="D89" s="26" t="n"/>
      <c r="E89" s="26" t="n"/>
      <c r="F89" s="26" t="n"/>
      <c r="G89" s="74" t="inlineStr">
        <is>
          <t>entfällt</t>
        </is>
      </c>
      <c r="H89" s="26" t="n"/>
      <c r="I89" s="26" t="n"/>
      <c r="J89" s="26" t="n"/>
    </row>
    <row r="90">
      <c r="B90" s="6" t="inlineStr">
        <is>
          <t>Lage der Mietfläche (z.B. EG, 1. OG)</t>
        </is>
      </c>
      <c r="C90" s="27" t="inlineStr">
        <is>
          <t>4. OG</t>
        </is>
      </c>
      <c r="D90" s="26" t="n"/>
      <c r="E90" s="26" t="n"/>
      <c r="F90" s="26" t="n"/>
      <c r="G90" s="74" t="n"/>
      <c r="H90" s="26" t="n"/>
      <c r="I90" s="26" t="n"/>
      <c r="J90" s="26" t="n"/>
      <c r="L90" s="47" t="inlineStr">
        <is>
          <t>Würselen: Laut 1. Nachtrag im 4. OG, alternativ im 1. OG. Läge sie im 1. OG, wäre sie im "kompletten 1. OG" des 3. Nachtrags enthalten und doppelt erfasst; die strikt additive Mietsumme spricht für das 4. OG.</t>
        </is>
      </c>
    </row>
    <row r="91">
      <c r="B91" s="6" t="inlineStr">
        <is>
          <t>Kapazität (Anzahl Betten)</t>
        </is>
      </c>
      <c r="C91" s="27" t="n">
        <v>0</v>
      </c>
      <c r="D91" s="26" t="n"/>
      <c r="E91" s="26" t="n"/>
      <c r="F91" s="26" t="n"/>
      <c r="G91" s="74" t="n">
        <v>0</v>
      </c>
      <c r="H91" s="26" t="n"/>
      <c r="I91" s="26" t="n"/>
      <c r="J91" s="26" t="n"/>
    </row>
    <row r="92">
      <c r="B92" s="6" t="inlineStr">
        <is>
          <t>Größe der Fläche (in qm)</t>
        </is>
      </c>
      <c r="C92" s="28" t="n">
        <v>59</v>
      </c>
      <c r="D92" s="26" t="n"/>
      <c r="E92" s="26" t="n"/>
      <c r="F92" s="26" t="n"/>
      <c r="G92" s="76" t="n">
        <v>0</v>
      </c>
      <c r="H92" s="26" t="n"/>
      <c r="I92" s="26" t="n"/>
      <c r="J92" s="26" t="n"/>
    </row>
    <row r="93">
      <c r="B93" s="6" t="inlineStr">
        <is>
          <t>Mietbeginn (falls abweichned)</t>
        </is>
      </c>
      <c r="C93" s="29" t="n">
        <v>44301</v>
      </c>
      <c r="D93" s="26" t="n"/>
      <c r="E93" s="26" t="n"/>
      <c r="F93" s="26" t="n"/>
      <c r="G93" s="77" t="n"/>
      <c r="H93" s="26" t="n"/>
      <c r="I93" s="26" t="n"/>
      <c r="J93" s="26" t="n"/>
    </row>
    <row r="94">
      <c r="G94" s="59" t="n"/>
    </row>
    <row r="95">
      <c r="B95" s="11" t="inlineStr">
        <is>
          <t>Kosten Einheit 3</t>
        </is>
      </c>
      <c r="C95" s="12" t="inlineStr">
        <is>
          <t>Anzahl</t>
        </is>
      </c>
      <c r="D95" s="12" t="inlineStr">
        <is>
          <t>€ pro Einheit</t>
        </is>
      </c>
      <c r="E95" s="12" t="inlineStr">
        <is>
          <t>€ pro Monat</t>
        </is>
      </c>
      <c r="F95" s="12" t="inlineStr">
        <is>
          <t>€ pro Jahr</t>
        </is>
      </c>
      <c r="G95" s="78" t="inlineStr">
        <is>
          <t>Anzahl</t>
        </is>
      </c>
      <c r="H95" s="12" t="inlineStr">
        <is>
          <t>€ pro Einheit</t>
        </is>
      </c>
      <c r="I95" s="12" t="inlineStr">
        <is>
          <t>€ pro Monat</t>
        </is>
      </c>
      <c r="J95" s="12" t="inlineStr">
        <is>
          <t>€ pro Jahr</t>
        </is>
      </c>
    </row>
    <row r="96">
      <c r="B96" s="2" t="inlineStr">
        <is>
          <t>Nettokaltmiete</t>
        </is>
      </c>
      <c r="C96" s="30" t="n">
        <v>59</v>
      </c>
      <c r="D96" s="31" t="n">
        <v>12.5</v>
      </c>
      <c r="E96" s="13">
        <f>+C96*D96</f>
        <v/>
      </c>
      <c r="F96" s="13">
        <f>+E96*12</f>
        <v/>
      </c>
      <c r="G96" s="79" t="n">
        <v>0</v>
      </c>
      <c r="H96" s="31" t="n">
        <v>0</v>
      </c>
      <c r="I96" s="13">
        <f>+G96*H96</f>
        <v/>
      </c>
      <c r="J96" s="13">
        <f>+I96*12</f>
        <v/>
      </c>
    </row>
    <row r="97">
      <c r="B97" s="6" t="inlineStr">
        <is>
          <t>Nebenkostenpauschale</t>
        </is>
      </c>
      <c r="C97" s="32">
        <f>+C96</f>
        <v/>
      </c>
      <c r="D97" s="33" t="n">
        <v>3.5</v>
      </c>
      <c r="E97" s="13">
        <f>+C97*D97</f>
        <v/>
      </c>
      <c r="F97" s="13">
        <f>+E97*12</f>
        <v/>
      </c>
      <c r="G97" s="80">
        <f>+G96</f>
        <v/>
      </c>
      <c r="H97" s="33" t="n">
        <v>0</v>
      </c>
      <c r="I97" s="13">
        <f>+G97*H97</f>
        <v/>
      </c>
      <c r="J97" s="13">
        <f>+I97*12</f>
        <v/>
      </c>
    </row>
    <row r="98">
      <c r="B98" s="6" t="inlineStr">
        <is>
          <t>Stellplätze</t>
        </is>
      </c>
      <c r="C98" s="34" t="n">
        <v>0</v>
      </c>
      <c r="D98" s="33" t="n">
        <v>0</v>
      </c>
      <c r="E98" s="13">
        <f>+C98*D98</f>
        <v/>
      </c>
      <c r="F98" s="13">
        <f>+E98*12</f>
        <v/>
      </c>
      <c r="G98" s="81" t="n">
        <v>0</v>
      </c>
      <c r="H98" s="33" t="n">
        <v>0</v>
      </c>
      <c r="I98" s="13">
        <f>+G98*H98</f>
        <v/>
      </c>
      <c r="J98" s="13">
        <f>+I98*12</f>
        <v/>
      </c>
    </row>
    <row r="99">
      <c r="B99" s="6" t="inlineStr">
        <is>
          <t>Terasse</t>
        </is>
      </c>
      <c r="C99" s="32" t="n">
        <v>0</v>
      </c>
      <c r="D99" s="33" t="n">
        <v>0</v>
      </c>
      <c r="E99" s="13">
        <f>+C99*D99</f>
        <v/>
      </c>
      <c r="F99" s="13">
        <f>+E99*12</f>
        <v/>
      </c>
      <c r="G99" s="80" t="n">
        <v>0</v>
      </c>
      <c r="H99" s="33" t="n">
        <v>0</v>
      </c>
      <c r="I99" s="13">
        <f>+G99*H99</f>
        <v/>
      </c>
      <c r="J99" s="13">
        <f>+I99*12</f>
        <v/>
      </c>
    </row>
    <row r="100">
      <c r="B100" s="6" t="inlineStr">
        <is>
          <t>Keller</t>
        </is>
      </c>
      <c r="C100" s="32" t="n">
        <v>0</v>
      </c>
      <c r="D100" s="33" t="n">
        <v>0</v>
      </c>
      <c r="E100" s="13">
        <f>+C100*D100</f>
        <v/>
      </c>
      <c r="F100" s="13">
        <f>+E100*12</f>
        <v/>
      </c>
      <c r="G100" s="80" t="n">
        <v>0</v>
      </c>
      <c r="H100" s="33" t="n">
        <v>0</v>
      </c>
      <c r="I100" s="13">
        <f>+G100*H100</f>
        <v/>
      </c>
      <c r="J100" s="13">
        <f>+I100*12</f>
        <v/>
      </c>
    </row>
    <row r="101">
      <c r="B101" s="6" t="inlineStr">
        <is>
          <t>Sonstiges</t>
        </is>
      </c>
      <c r="C101" s="34" t="n">
        <v>0</v>
      </c>
      <c r="D101" s="33" t="n">
        <v>0</v>
      </c>
      <c r="E101" s="13">
        <f>+C101*D101</f>
        <v/>
      </c>
      <c r="F101" s="13">
        <f>+E101*12</f>
        <v/>
      </c>
      <c r="G101" s="81" t="n">
        <v>0</v>
      </c>
      <c r="H101" s="33" t="n">
        <v>0</v>
      </c>
      <c r="I101" s="13">
        <f>+G101*H101</f>
        <v/>
      </c>
      <c r="J101" s="13">
        <f>+I101*12</f>
        <v/>
      </c>
    </row>
    <row r="102" ht="8.25" customHeight="1">
      <c r="B102" s="14" t="n"/>
      <c r="C102" s="15" t="n"/>
      <c r="D102" s="16" t="n"/>
      <c r="E102" s="17" t="n"/>
      <c r="F102" s="17" t="n"/>
      <c r="G102" s="82" t="n"/>
      <c r="H102" s="16" t="n"/>
      <c r="I102" s="17" t="n"/>
      <c r="J102" s="17" t="n"/>
    </row>
    <row r="103" customFormat="1" s="1">
      <c r="B103" s="1" t="inlineStr">
        <is>
          <t>Summe</t>
        </is>
      </c>
      <c r="C103" s="18" t="n"/>
      <c r="D103" s="19" t="n"/>
      <c r="E103" s="20">
        <f>+SUM(E96:E102)</f>
        <v/>
      </c>
      <c r="F103" s="20">
        <f>+SUM(F96:F102)</f>
        <v/>
      </c>
      <c r="G103" s="83" t="n"/>
      <c r="H103" s="19" t="n"/>
      <c r="I103" s="20">
        <f>+SUM(I96:I102)</f>
        <v/>
      </c>
      <c r="J103" s="20">
        <f>+SUM(J96:J102)</f>
        <v/>
      </c>
    </row>
    <row r="104" ht="6.75" customHeight="1" thickBot="1">
      <c r="B104" s="7" t="n"/>
      <c r="C104" s="8" t="n"/>
      <c r="D104" s="7" t="n"/>
      <c r="E104" s="7" t="n"/>
      <c r="F104" s="7" t="n"/>
      <c r="G104" s="67" t="n"/>
      <c r="H104" s="7" t="n"/>
      <c r="I104" s="7" t="n"/>
      <c r="J104" s="7" t="n"/>
    </row>
    <row r="105">
      <c r="G105" s="59" t="n"/>
    </row>
    <row r="106">
      <c r="G106" s="59" t="n"/>
    </row>
    <row r="107">
      <c r="B107" s="23" t="inlineStr">
        <is>
          <t>Capex</t>
        </is>
      </c>
      <c r="C107" s="23" t="inlineStr">
        <is>
          <t>Anmerkungen</t>
        </is>
      </c>
      <c r="D107" s="24" t="n"/>
      <c r="E107" s="24" t="n"/>
      <c r="F107" s="24" t="n"/>
      <c r="G107" s="84" t="inlineStr">
        <is>
          <t>Anmerkungen</t>
        </is>
      </c>
      <c r="H107" s="24" t="n"/>
      <c r="I107" s="24" t="n"/>
      <c r="J107" s="24" t="n"/>
      <c r="L107" s="47" t="inlineStr">
        <is>
          <t>Beträge sind aus Mietverträgen grundsätzlich nicht ableitbar – sie kommen aus Anlagenspiegel bzw. Investitionsplanung des Targets. Die Verträge regeln aber die Kostenträgerschaft, und die steht hier: Würselen baut der Vermieter nach Raumbuch aus, der Mieter trägt die gesamte betriebsspezifische Ausstattung (§2.3.2) einschließlich Medizin-, IT- und Klimatechnik (§2.3.5). Baesweiler stellt der Vermieter das Inventar (§1.2) – Capex dort strukturell deutlich niedriger.</t>
        </is>
      </c>
    </row>
    <row r="108">
      <c r="B108" s="35" t="inlineStr">
        <is>
          <t>Möbel Patientenzimmer</t>
        </is>
      </c>
      <c r="C108" s="36" t="inlineStr">
        <is>
          <t>Mieter (§2.3.2 Möblierung)</t>
        </is>
      </c>
      <c r="D108" s="37" t="n"/>
      <c r="E108" s="38" t="n"/>
      <c r="F108" s="56" t="n">
        <v>0</v>
      </c>
      <c r="G108" s="85" t="inlineStr">
        <is>
          <t>Vermieter – Pflegebetten im Inventar (§1.2)</t>
        </is>
      </c>
      <c r="H108" s="37" t="n"/>
      <c r="I108" s="38" t="n"/>
      <c r="J108" s="33" t="n">
        <v>0</v>
      </c>
      <c r="L108" s="47" t="inlineStr">
        <is>
          <t>Baesweiler: Inventar (Einbauküchen, Pflegebetten, Vorhänge) vermieterseitig gestellt und im Mietzins enthalten (§1.2).</t>
        </is>
      </c>
    </row>
    <row r="109">
      <c r="B109" s="35" t="inlineStr">
        <is>
          <t>Gemeinschaftsbereich</t>
        </is>
      </c>
      <c r="C109" s="25" t="inlineStr">
        <is>
          <t>Mieter (§2.3.2)</t>
        </is>
      </c>
      <c r="D109" s="39" t="n"/>
      <c r="E109" s="40" t="n"/>
      <c r="F109" s="56" t="n">
        <v>0</v>
      </c>
      <c r="G109" s="65" t="inlineStr">
        <is>
          <t>Vermieter – Einbauküchen, Vorhänge (§1.2)</t>
        </is>
      </c>
      <c r="H109" s="39" t="n"/>
      <c r="I109" s="40" t="n"/>
      <c r="J109" s="33" t="n">
        <v>0</v>
      </c>
    </row>
    <row r="110">
      <c r="B110" s="35" t="inlineStr">
        <is>
          <t>Schwesternrufanlage</t>
        </is>
      </c>
      <c r="C110" s="25" t="inlineStr">
        <is>
          <t>Mieter (§2.3.5)</t>
        </is>
      </c>
      <c r="D110" s="39" t="n"/>
      <c r="E110" s="40" t="n"/>
      <c r="F110" s="56" t="n">
        <v>0</v>
      </c>
      <c r="G110" s="65" t="inlineStr">
        <is>
          <t>vorhanden; nur Unterhaltung als NK (§4.2)</t>
        </is>
      </c>
      <c r="H110" s="39" t="n"/>
      <c r="I110" s="40" t="n"/>
      <c r="J110" s="33" t="n">
        <v>0</v>
      </c>
      <c r="L110" s="47" t="inlineStr">
        <is>
          <t>Baesweiler: eine Schwesternrufanlage existiert bereits; §4.2 legt nur deren Unterhaltungskosten als Nebenkosten um. Ebenso vorhanden: Brandmelde- und Aufzugsanlage.</t>
        </is>
      </c>
    </row>
    <row r="111">
      <c r="B111" s="35" t="inlineStr">
        <is>
          <t>Pflegebad</t>
        </is>
      </c>
      <c r="C111" s="25" t="inlineStr">
        <is>
          <t>Mieter; Pavillon nur vorgerüstet (§2.3.1)</t>
        </is>
      </c>
      <c r="D111" s="39" t="n"/>
      <c r="E111" s="40" t="n"/>
      <c r="F111" s="56" t="n">
        <v>0</v>
      </c>
      <c r="G111" s="65" t="inlineStr">
        <is>
          <t>XXX – im Vertrag nicht erwähnt</t>
        </is>
      </c>
      <c r="H111" s="39" t="n"/>
      <c r="I111" s="40" t="n"/>
      <c r="J111" s="33" t="n">
        <v>0</v>
      </c>
      <c r="L111" s="47" t="inlineStr">
        <is>
          <t>Würselen: der Eingangspavillon ist laut §2.3.1 nur so vorgerichtet, dass der spätere Einbau eines Pflegebades MÖGLICH ist – das Pflegebad selbst schuldet der Vermieter nicht.</t>
        </is>
      </c>
    </row>
    <row r="112">
      <c r="B112" s="35" t="inlineStr">
        <is>
          <t>Fäkalienspüle</t>
        </is>
      </c>
      <c r="C112" s="25" t="inlineStr">
        <is>
          <t>XXX – Raumbuch (Anlage 1.4) liegt nicht vor</t>
        </is>
      </c>
      <c r="D112" s="39" t="n"/>
      <c r="E112" s="40" t="n"/>
      <c r="F112" s="56" t="n">
        <v>0</v>
      </c>
      <c r="G112" s="65" t="inlineStr">
        <is>
          <t>XXX – im Vertrag nicht erwähnt</t>
        </is>
      </c>
      <c r="H112" s="39" t="n"/>
      <c r="I112" s="40" t="n"/>
      <c r="J112" s="33" t="n">
        <v>0</v>
      </c>
    </row>
    <row r="113">
      <c r="B113" s="35" t="inlineStr">
        <is>
          <t>Umbaukosten</t>
        </is>
      </c>
      <c r="C113" s="25" t="inlineStr">
        <is>
          <t>Vermieter baut aus; Sonderwünsche zu Lasten Mieter</t>
        </is>
      </c>
      <c r="D113" s="39" t="n"/>
      <c r="E113" s="40" t="n"/>
      <c r="F113" s="56" t="n">
        <v>0</v>
      </c>
      <c r="G113" s="65" t="inlineStr">
        <is>
          <t>kein Umbau – laufender Betrieb übernommen</t>
        </is>
      </c>
      <c r="H113" s="39" t="n"/>
      <c r="I113" s="40" t="n"/>
      <c r="J113" s="33" t="n">
        <v>0</v>
      </c>
    </row>
    <row r="114">
      <c r="B114" s="35" t="inlineStr">
        <is>
          <t>IT</t>
        </is>
      </c>
      <c r="C114" s="25" t="inlineStr">
        <is>
          <t>Mieter (§2.3.5)</t>
        </is>
      </c>
      <c r="D114" s="39" t="n"/>
      <c r="E114" s="40" t="n"/>
      <c r="F114" s="56" t="n">
        <v>0</v>
      </c>
      <c r="G114" s="65" t="inlineStr">
        <is>
          <t>Mieter</t>
        </is>
      </c>
      <c r="H114" s="39" t="n"/>
      <c r="I114" s="40" t="n"/>
      <c r="J114" s="33" t="n">
        <v>0</v>
      </c>
    </row>
    <row r="115">
      <c r="B115" s="35" t="inlineStr">
        <is>
          <t>Waschmaschinen</t>
        </is>
      </c>
      <c r="C115" s="25" t="inlineStr">
        <is>
          <t>XXX</t>
        </is>
      </c>
      <c r="D115" s="39" t="n"/>
      <c r="E115" s="40" t="n"/>
      <c r="F115" s="56" t="n">
        <v>0</v>
      </c>
      <c r="G115" s="65" t="inlineStr">
        <is>
          <t>XXX</t>
        </is>
      </c>
      <c r="H115" s="39" t="n"/>
      <c r="I115" s="40" t="n"/>
      <c r="J115" s="33" t="n">
        <v>0</v>
      </c>
    </row>
    <row r="116">
      <c r="B116" s="35" t="inlineStr">
        <is>
          <t>[Platzhalter]</t>
        </is>
      </c>
      <c r="C116" s="25" t="inlineStr">
        <is>
          <t>XXX</t>
        </is>
      </c>
      <c r="D116" s="39" t="n"/>
      <c r="E116" s="40" t="n"/>
      <c r="F116" s="56" t="n">
        <v>0</v>
      </c>
      <c r="G116" s="65" t="inlineStr">
        <is>
          <t>XXX</t>
        </is>
      </c>
      <c r="H116" s="39" t="n"/>
      <c r="I116" s="40" t="n"/>
      <c r="J116" s="33" t="n">
        <v>0</v>
      </c>
    </row>
    <row r="117">
      <c r="B117" s="35" t="inlineStr">
        <is>
          <t>[Platzhalter]</t>
        </is>
      </c>
      <c r="C117" s="25" t="inlineStr">
        <is>
          <t>XXX</t>
        </is>
      </c>
      <c r="D117" s="39" t="n"/>
      <c r="E117" s="40" t="n"/>
      <c r="F117" s="56" t="n">
        <v>0</v>
      </c>
      <c r="G117" s="65" t="inlineStr">
        <is>
          <t>XXX</t>
        </is>
      </c>
      <c r="H117" s="39" t="n"/>
      <c r="I117" s="40" t="n"/>
      <c r="J117" s="33" t="n">
        <v>0</v>
      </c>
    </row>
    <row r="118">
      <c r="B118" s="35" t="inlineStr">
        <is>
          <t>[Platzhalter]</t>
        </is>
      </c>
      <c r="C118" s="25" t="inlineStr">
        <is>
          <t>XXX</t>
        </is>
      </c>
      <c r="D118" s="39" t="n"/>
      <c r="E118" s="40" t="n"/>
      <c r="F118" s="56" t="n">
        <v>0</v>
      </c>
      <c r="G118" s="65" t="inlineStr">
        <is>
          <t>XXX</t>
        </is>
      </c>
      <c r="H118" s="39" t="n"/>
      <c r="I118" s="40" t="n"/>
      <c r="J118" s="33" t="n">
        <v>0</v>
      </c>
    </row>
    <row r="119" ht="8.25" customHeight="1">
      <c r="B119" s="14" t="n"/>
      <c r="C119" s="15" t="n"/>
      <c r="D119" s="16" t="n"/>
      <c r="E119" s="17" t="n"/>
      <c r="F119" s="17" t="n"/>
      <c r="G119" s="82" t="n"/>
      <c r="H119" s="16" t="n"/>
      <c r="I119" s="17" t="n"/>
      <c r="J119" s="17" t="n"/>
    </row>
    <row r="120" customFormat="1" s="1">
      <c r="B120" s="1" t="inlineStr">
        <is>
          <t>Summe</t>
        </is>
      </c>
      <c r="C120" s="18" t="n"/>
      <c r="D120" s="19" t="n"/>
      <c r="E120" s="20" t="n"/>
      <c r="F120" s="20">
        <f>+SUM(F108:F119)</f>
        <v/>
      </c>
      <c r="G120" s="83" t="n"/>
      <c r="H120" s="19" t="n"/>
      <c r="I120" s="20" t="n"/>
      <c r="J120" s="20">
        <f>+SUM(J108:J119)</f>
        <v/>
      </c>
    </row>
    <row r="121" ht="6.75" customHeight="1" thickBot="1">
      <c r="B121" s="7" t="n"/>
      <c r="C121" s="8" t="n"/>
      <c r="D121" s="7" t="n"/>
      <c r="E121" s="7" t="n"/>
      <c r="F121" s="7" t="n"/>
      <c r="G121" s="67" t="n"/>
      <c r="H121" s="7" t="n"/>
      <c r="I121" s="7" t="n"/>
      <c r="J121" s="7" t="n"/>
    </row>
    <row r="122" ht="6.75" customHeight="1">
      <c r="G122" s="59" t="n"/>
    </row>
    <row r="123">
      <c r="B123" s="21" t="inlineStr">
        <is>
          <t>davon:</t>
        </is>
      </c>
      <c r="G123" s="59" t="n"/>
    </row>
    <row r="124">
      <c r="B124" s="22" t="inlineStr">
        <is>
          <t>Übernahme Vermieter</t>
        </is>
      </c>
      <c r="C124" s="25" t="inlineStr">
        <is>
          <t>Ausbau nach Raumbuch (Anlage 1.4)</t>
        </is>
      </c>
      <c r="D124" s="39" t="n"/>
      <c r="E124" s="40" t="n"/>
      <c r="F124" s="56" t="n">
        <v>0</v>
      </c>
      <c r="G124" s="65" t="inlineStr">
        <is>
          <t>Inventar vermieterseitig gestellt (§1.2)</t>
        </is>
      </c>
      <c r="H124" s="39" t="n"/>
      <c r="I124" s="40" t="n"/>
      <c r="J124" s="33" t="n">
        <v>0</v>
      </c>
    </row>
    <row r="125">
      <c r="B125" s="22" t="inlineStr">
        <is>
          <t>Baukostenzuschuss Mieter</t>
        </is>
      </c>
      <c r="C125" s="25" t="inlineStr">
        <is>
          <t>kein BKZ; faktisch 600 €/Mon. für Statik 1. OG</t>
        </is>
      </c>
      <c r="D125" s="39" t="n"/>
      <c r="E125" s="40" t="n"/>
      <c r="F125" s="56" t="n">
        <v>0</v>
      </c>
      <c r="G125" s="65" t="inlineStr">
        <is>
          <t>kein BKZ</t>
        </is>
      </c>
      <c r="H125" s="39" t="n"/>
      <c r="I125" s="40" t="n"/>
      <c r="J125" s="33" t="n">
        <v>0</v>
      </c>
    </row>
    <row r="126" ht="6.75" customHeight="1" thickBot="1">
      <c r="B126" s="7" t="n"/>
      <c r="C126" s="8" t="n"/>
      <c r="D126" s="7" t="n"/>
      <c r="E126" s="7" t="n"/>
      <c r="F126" s="7" t="n"/>
      <c r="G126" s="67" t="n"/>
      <c r="H126" s="7" t="n"/>
      <c r="I126" s="7" t="n"/>
      <c r="J126" s="7" t="n"/>
    </row>
    <row r="127">
      <c r="G127" s="59" t="n"/>
    </row>
    <row r="128">
      <c r="G128" s="59" t="n"/>
    </row>
    <row r="129">
      <c r="B129" s="23" t="inlineStr">
        <is>
          <t>Ramp-up Kosten</t>
        </is>
      </c>
      <c r="C129" s="23" t="inlineStr">
        <is>
          <t>Anmerkungen</t>
        </is>
      </c>
      <c r="D129" s="24" t="n"/>
      <c r="E129" s="24" t="n"/>
      <c r="F129" s="24" t="n"/>
      <c r="G129" s="84" t="inlineStr">
        <is>
          <t>Anmerkungen</t>
        </is>
      </c>
      <c r="H129" s="24" t="n"/>
      <c r="I129" s="24" t="n"/>
      <c r="J129" s="24" t="n"/>
      <c r="L129" s="47" t="inlineStr">
        <is>
          <t>Aus Mietverträgen nicht ableitbar. Ein struktureller Unterschied ergibt sich dennoch: Baesweiler wurde als laufender Betrieb übernommen – die Mieterin tritt nach §18 in die bestehenden Untermietverträge mit den Patienten ein, die Belegung besteht also bereits. Ein Belegungsaufbau entfällt damit weitgehend. Personalthemen hängen am Kaufvertrag vom 17.03.2023, der nicht vorliegt.</t>
        </is>
      </c>
    </row>
    <row r="130">
      <c r="B130" s="35" t="inlineStr">
        <is>
          <t>Betriebsmittel</t>
        </is>
      </c>
      <c r="C130" s="36" t="inlineStr">
        <is>
          <t>XXX – aus Target-Unterlagen</t>
        </is>
      </c>
      <c r="D130" s="37" t="n"/>
      <c r="E130" s="38" t="n"/>
      <c r="F130" s="56" t="n">
        <v>0</v>
      </c>
      <c r="G130" s="85" t="inlineStr">
        <is>
          <t>gering – Betrieb läuft bereits</t>
        </is>
      </c>
      <c r="H130" s="37" t="n"/>
      <c r="I130" s="38" t="n"/>
      <c r="J130" s="33" t="n">
        <v>0</v>
      </c>
    </row>
    <row r="131">
      <c r="B131" s="35" t="inlineStr">
        <is>
          <t>Werbung / Marketing</t>
        </is>
      </c>
      <c r="C131" s="25" t="inlineStr">
        <is>
          <t>XXX</t>
        </is>
      </c>
      <c r="D131" s="39" t="n"/>
      <c r="E131" s="40" t="n"/>
      <c r="F131" s="56" t="n">
        <v>0</v>
      </c>
      <c r="G131" s="65" t="inlineStr">
        <is>
          <t>XXX</t>
        </is>
      </c>
      <c r="H131" s="39" t="n"/>
      <c r="I131" s="40" t="n"/>
      <c r="J131" s="33" t="n">
        <v>0</v>
      </c>
    </row>
    <row r="132">
      <c r="B132" s="35" t="inlineStr">
        <is>
          <t>Personalbeschaffung</t>
        </is>
      </c>
      <c r="C132" s="25" t="inlineStr">
        <is>
          <t>XXX – aus Target-Unterlagen</t>
        </is>
      </c>
      <c r="D132" s="39" t="n"/>
      <c r="E132" s="40" t="n"/>
      <c r="F132" s="56" t="n">
        <v>0</v>
      </c>
      <c r="G132" s="65" t="inlineStr">
        <is>
          <t>XXX – abhängig vom Kaufvertrag (liegt nicht vor)</t>
        </is>
      </c>
      <c r="H132" s="39" t="n"/>
      <c r="I132" s="40" t="n"/>
      <c r="J132" s="33" t="n">
        <v>0</v>
      </c>
    </row>
    <row r="133">
      <c r="B133" s="35" t="inlineStr">
        <is>
          <t>Planungskosten</t>
        </is>
      </c>
      <c r="C133" s="25" t="inlineStr">
        <is>
          <t>XXX</t>
        </is>
      </c>
      <c r="D133" s="39" t="n"/>
      <c r="E133" s="40" t="n"/>
      <c r="F133" s="56" t="n">
        <v>0</v>
      </c>
      <c r="G133" s="65" t="inlineStr">
        <is>
          <t>XXX</t>
        </is>
      </c>
      <c r="H133" s="39" t="n"/>
      <c r="I133" s="40" t="n"/>
      <c r="J133" s="33" t="n">
        <v>0</v>
      </c>
    </row>
    <row r="134">
      <c r="B134" s="35" t="inlineStr">
        <is>
          <t>Makler</t>
        </is>
      </c>
      <c r="C134" s="25" t="inlineStr">
        <is>
          <t>XXX</t>
        </is>
      </c>
      <c r="D134" s="39" t="n"/>
      <c r="E134" s="40" t="n"/>
      <c r="F134" s="56" t="n">
        <v>0</v>
      </c>
      <c r="G134" s="65" t="inlineStr">
        <is>
          <t>XXX</t>
        </is>
      </c>
      <c r="H134" s="39" t="n"/>
      <c r="I134" s="40" t="n"/>
      <c r="J134" s="33" t="n">
        <v>0</v>
      </c>
    </row>
    <row r="135">
      <c r="B135" s="35" t="inlineStr">
        <is>
          <t>[Platzhalter]</t>
        </is>
      </c>
      <c r="C135" s="25" t="inlineStr">
        <is>
          <t>XXX</t>
        </is>
      </c>
      <c r="D135" s="39" t="n"/>
      <c r="E135" s="40" t="n"/>
      <c r="F135" s="56" t="n">
        <v>0</v>
      </c>
      <c r="G135" s="65" t="inlineStr">
        <is>
          <t>XXX</t>
        </is>
      </c>
      <c r="H135" s="39" t="n"/>
      <c r="I135" s="40" t="n"/>
      <c r="J135" s="33" t="n">
        <v>0</v>
      </c>
    </row>
    <row r="136">
      <c r="B136" s="35" t="inlineStr">
        <is>
          <t>[Platzhalter]</t>
        </is>
      </c>
      <c r="C136" s="25" t="inlineStr">
        <is>
          <t>XXX</t>
        </is>
      </c>
      <c r="D136" s="39" t="n"/>
      <c r="E136" s="40" t="n"/>
      <c r="F136" s="56" t="n">
        <v>0</v>
      </c>
      <c r="G136" s="65" t="inlineStr">
        <is>
          <t>XXX</t>
        </is>
      </c>
      <c r="H136" s="39" t="n"/>
      <c r="I136" s="40" t="n"/>
      <c r="J136" s="33" t="n">
        <v>0</v>
      </c>
    </row>
    <row r="137">
      <c r="B137" s="35" t="inlineStr">
        <is>
          <t>[Platzhalter]</t>
        </is>
      </c>
      <c r="C137" s="25" t="inlineStr">
        <is>
          <t>XXX</t>
        </is>
      </c>
      <c r="D137" s="39" t="n"/>
      <c r="E137" s="40" t="n"/>
      <c r="F137" s="56" t="n">
        <v>0</v>
      </c>
      <c r="G137" s="65" t="inlineStr">
        <is>
          <t>XXX</t>
        </is>
      </c>
      <c r="H137" s="39" t="n"/>
      <c r="I137" s="40" t="n"/>
      <c r="J137" s="33" t="n">
        <v>0</v>
      </c>
    </row>
    <row r="138">
      <c r="B138" s="35" t="inlineStr">
        <is>
          <t>[Platzhalter]</t>
        </is>
      </c>
      <c r="C138" s="25" t="inlineStr">
        <is>
          <t>XXX</t>
        </is>
      </c>
      <c r="D138" s="39" t="n"/>
      <c r="E138" s="40" t="n"/>
      <c r="F138" s="56" t="n">
        <v>0</v>
      </c>
      <c r="G138" s="65" t="inlineStr">
        <is>
          <t>XXX</t>
        </is>
      </c>
      <c r="H138" s="39" t="n"/>
      <c r="I138" s="40" t="n"/>
      <c r="J138" s="33" t="n">
        <v>0</v>
      </c>
    </row>
    <row r="139">
      <c r="B139" s="35" t="inlineStr">
        <is>
          <t>[Platzhalter]</t>
        </is>
      </c>
      <c r="C139" s="25" t="inlineStr">
        <is>
          <t>XXX</t>
        </is>
      </c>
      <c r="D139" s="39" t="n"/>
      <c r="E139" s="40" t="n"/>
      <c r="F139" s="56" t="n">
        <v>0</v>
      </c>
      <c r="G139" s="65" t="inlineStr">
        <is>
          <t>XXX</t>
        </is>
      </c>
      <c r="H139" s="39" t="n"/>
      <c r="I139" s="40" t="n"/>
      <c r="J139" s="33" t="n">
        <v>0</v>
      </c>
    </row>
    <row r="140" ht="8.25" customHeight="1">
      <c r="B140" s="14" t="n"/>
      <c r="C140" s="15" t="n"/>
      <c r="D140" s="16" t="n"/>
      <c r="E140" s="17" t="n"/>
      <c r="F140" s="17" t="n"/>
      <c r="G140" s="82" t="n"/>
      <c r="H140" s="16" t="n"/>
      <c r="I140" s="17" t="n"/>
      <c r="J140" s="17" t="n"/>
    </row>
    <row r="141" customFormat="1" s="1">
      <c r="B141" s="1" t="inlineStr">
        <is>
          <t>Summe</t>
        </is>
      </c>
      <c r="C141" s="18" t="n"/>
      <c r="D141" s="19" t="n"/>
      <c r="E141" s="20" t="n"/>
      <c r="F141" s="20">
        <f>+SUM(F130:F140)</f>
        <v/>
      </c>
      <c r="G141" s="83" t="n"/>
      <c r="H141" s="19" t="n"/>
      <c r="I141" s="20" t="n"/>
      <c r="J141" s="20">
        <f>+SUM(J130:J140)</f>
        <v/>
      </c>
    </row>
    <row r="142" ht="6.75" customHeight="1" thickBot="1">
      <c r="B142" s="7" t="n"/>
      <c r="C142" s="8" t="n"/>
      <c r="D142" s="7" t="n"/>
      <c r="E142" s="7" t="n"/>
      <c r="F142" s="7" t="n"/>
      <c r="G142" s="67" t="n"/>
      <c r="H142" s="7" t="n"/>
      <c r="I142" s="7" t="n"/>
      <c r="J142" s="7" t="n"/>
    </row>
  </sheetData>
  <mergeCells count="4">
    <mergeCell ref="C22:F22"/>
    <mergeCell ref="C4:F4"/>
    <mergeCell ref="G4:J4"/>
    <mergeCell ref="G22:J22"/>
  </mergeCells>
  <pageMargins left="0.5118110236220472" right="0.5118110236220472" top="0.7874015748031497" bottom="0.7874015748031497" header="0.3149606299212598" footer="0.3149606299212598"/>
  <pageSetup orientation="portrait" paperSize="9" scale="9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Morscheck, Desiree</dc:creator>
  <dcterms:created xsi:type="dcterms:W3CDTF">2026-03-11T11:03:37Z</dcterms:created>
  <dcterms:modified xsi:type="dcterms:W3CDTF">2026-08-18T10:50:07Z</dcterms:modified>
  <cp:lastModifiedBy>Neal, Jeffrey</cp:lastModifiedBy>
  <cp:lastPrinted>2026-04-29T12:17:51Z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0x010100C03FC3E19674CE4E8117F225B4041376</vt:lpwstr>
  </property>
</Properties>
</file>