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/>
      <right/>
      <top/>
      <bottom/>
    </border>
    <border>
      <left style="medium"/>
      <right style="thin">
        <color indexed="64"/>
      </right>
      <top style="thin">
        <color indexed="64"/>
      </top>
      <bottom style="thin">
        <color indexed="64"/>
      </bottom>
    </border>
    <border>
      <left style="medium"/>
      <right/>
      <top/>
      <bottom style="thin">
        <color indexed="64"/>
      </bottom>
    </border>
    <border>
      <left style="medium"/>
      <right/>
      <top style="thin">
        <color theme="0" tint="-0.249946592608417"/>
      </top>
      <bottom style="thin">
        <color theme="0" tint="-0.249946592608417"/>
      </bottom>
    </border>
    <border>
      <left style="medium"/>
      <right/>
      <top style="thin">
        <color theme="0" tint="-0.249946592608417"/>
      </top>
      <bottom style="medium">
        <color indexed="64"/>
      </bottom>
    </border>
    <border>
      <left style="medium"/>
      <right style="hair">
        <color indexed="64"/>
      </right>
      <top style="thin">
        <color indexed="64"/>
      </top>
      <bottom style="hair">
        <color indexed="64"/>
      </bottom>
    </border>
    <border>
      <left style="medium"/>
      <right style="hair">
        <color indexed="64"/>
      </right>
      <top style="hair">
        <color indexed="64"/>
      </top>
      <bottom style="hair">
        <color indexed="64"/>
      </bottom>
    </border>
    <border>
      <left style="medium"/>
      <right/>
      <top style="thin">
        <color indexed="64"/>
      </top>
      <bottom style="thin">
        <color theme="0" tint="-0.249946592608417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vertical="center" wrapText="1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8" applyAlignment="1" pivotButton="0" quotePrefix="0" xfId="0">
      <alignment horizontal="left" vertical="center"/>
    </xf>
    <xf numFmtId="0" fontId="2" fillId="2" borderId="19" applyAlignment="1" pivotButton="0" quotePrefix="0" xfId="0">
      <alignment horizontal="left" vertical="center"/>
    </xf>
    <xf numFmtId="0" fontId="2" fillId="2" borderId="20" applyAlignment="1" pivotButton="0" quotePrefix="0" xfId="0">
      <alignment horizontal="left" vertical="center"/>
    </xf>
    <xf numFmtId="164" fontId="2" fillId="4" borderId="2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0" fillId="0" borderId="25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0" fontId="2" fillId="2" borderId="26" applyAlignment="1" pivotButton="0" quotePrefix="0" xfId="0">
      <alignment vertical="center"/>
    </xf>
    <xf numFmtId="0" fontId="0" fillId="3" borderId="27" applyAlignment="1" pivotButton="0" quotePrefix="0" xfId="0">
      <alignment vertical="center"/>
    </xf>
    <xf numFmtId="0" fontId="2" fillId="4" borderId="28" applyAlignment="1" pivotButton="0" quotePrefix="0" xfId="0">
      <alignment vertical="center"/>
    </xf>
    <xf numFmtId="0" fontId="2" fillId="4" borderId="28" applyAlignment="1" pivotButton="0" quotePrefix="0" xfId="0">
      <alignment horizontal="left" vertical="center" wrapText="1"/>
    </xf>
    <xf numFmtId="0" fontId="0" fillId="0" borderId="29" applyAlignment="1" pivotButton="0" quotePrefix="0" xfId="0">
      <alignment vertical="center"/>
    </xf>
    <xf numFmtId="0" fontId="1" fillId="0" borderId="27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8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8" applyAlignment="1" pivotButton="0" quotePrefix="0" xfId="0">
      <alignment horizontal="left" vertical="center"/>
    </xf>
    <xf numFmtId="0" fontId="2" fillId="4" borderId="28" applyAlignment="1" pivotButton="0" quotePrefix="0" xfId="0">
      <alignment horizontal="left" vertical="center"/>
    </xf>
    <xf numFmtId="0" fontId="1" fillId="2" borderId="25" applyAlignment="1" pivotButton="0" quotePrefix="0" xfId="0">
      <alignment vertical="center"/>
    </xf>
    <xf numFmtId="165" fontId="2" fillId="4" borderId="28" applyAlignment="1" pivotButton="0" quotePrefix="0" xfId="0">
      <alignment horizontal="left" vertical="center"/>
    </xf>
    <xf numFmtId="14" fontId="2" fillId="4" borderId="28" applyAlignment="1" pivotButton="0" quotePrefix="0" xfId="0">
      <alignment horizontal="left" vertical="center"/>
    </xf>
    <xf numFmtId="0" fontId="1" fillId="0" borderId="27" applyAlignment="1" pivotButton="0" quotePrefix="0" xfId="0">
      <alignment horizontal="right" vertical="center"/>
    </xf>
    <xf numFmtId="165" fontId="2" fillId="4" borderId="30" applyAlignment="1" pivotButton="0" quotePrefix="0" xfId="0">
      <alignment vertical="center"/>
    </xf>
    <xf numFmtId="165" fontId="2" fillId="4" borderId="31" applyAlignment="1" pivotButton="0" quotePrefix="0" xfId="0">
      <alignment vertical="center"/>
    </xf>
    <xf numFmtId="0" fontId="2" fillId="4" borderId="31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0" fontId="1" fillId="2" borderId="27" applyAlignment="1" pivotButton="0" quotePrefix="0" xfId="0">
      <alignment horizontal="left" vertical="center"/>
    </xf>
    <xf numFmtId="0" fontId="2" fillId="4" borderId="32" applyAlignment="1" pivotButton="0" quotePrefix="0" xfId="0">
      <alignment vertical="center"/>
    </xf>
    <xf numFmtId="0" fontId="2" fillId="4" borderId="28" applyAlignment="1" pivotButton="0" quotePrefix="0" xfId="0">
      <alignment vertical="center" wrapTex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8"/>
    <col width="11.453125" customWidth="1" style="2" min="9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2., 3. und 1. OG; Keller</t>
        </is>
      </c>
      <c r="D14" s="25" t="inlineStr">
        <is>
          <t>XXX</t>
        </is>
      </c>
      <c r="E14" s="48" t="inlineStr">
        <is>
          <t>Würselen: die 59 qm liegen laut 1. Nachtrag im 4. OG. Baesweiler: Etagenlage im Vertrag nicht geregelt; EG-Wohnung nicht Mietgegenstand.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inlineStr">
        <is>
          <t>Würselen: der Vertrag nennt nur "Nebenflächen",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inlineStr">
        <is>
          <t>Würselen: §5.2 → Ende 30.04.2031, der 3. Nachtrag formuliert dagegen 14.04.2031. Baesweiler: WIDERSPRUCH – §2.2 schließt die Kündigung 5 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2"/>
  <sheetViews>
    <sheetView showGridLines="0" tabSelected="1" workbookViewId="0">
      <selection activeCell="H4" sqref="H4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66.453125" customWidth="1" style="2" min="3" max="3"/>
    <col width="12.81640625" customWidth="1" style="2" min="4" max="6"/>
    <col width="35" customWidth="1" style="57" min="7" max="7"/>
    <col width="12.82" customWidth="1" style="2" min="8" max="8"/>
    <col width="11.453125" customWidth="1" style="2" min="9" max="16384"/>
  </cols>
  <sheetData>
    <row r="2">
      <c r="B2" s="1" t="inlineStr">
        <is>
          <t>Übersicht Mietvertragskonditionen</t>
        </is>
      </c>
      <c r="G2" s="59" t="n"/>
    </row>
    <row r="3">
      <c r="G3" s="59" t="n"/>
    </row>
    <row r="4">
      <c r="B4" s="3" t="inlineStr">
        <is>
          <t>Standort:</t>
        </is>
      </c>
      <c r="C4" s="60" t="inlineStr">
        <is>
          <t>Würselen (Target)</t>
        </is>
      </c>
      <c r="D4" s="61" t="n"/>
      <c r="E4" s="61" t="n"/>
      <c r="F4" s="62" t="n"/>
      <c r="G4" s="63" t="inlineStr">
        <is>
          <t>Baesweiler (Bestand)</t>
        </is>
      </c>
      <c r="H4" s="61" t="n"/>
      <c r="I4" s="61" t="n"/>
      <c r="J4" s="62" t="n"/>
    </row>
    <row r="5">
      <c r="G5" s="59" t="n"/>
    </row>
    <row r="6">
      <c r="B6" s="4" t="inlineStr">
        <is>
          <t>Eckdaten</t>
        </is>
      </c>
      <c r="C6" s="5" t="n"/>
      <c r="D6" s="5" t="n"/>
      <c r="E6" s="5" t="n"/>
      <c r="F6" s="5" t="n"/>
      <c r="G6" s="64" t="n"/>
      <c r="H6" s="5" t="n"/>
      <c r="I6" s="5" t="n"/>
      <c r="J6" s="5" t="n"/>
      <c r="L6" s="47" t="inlineStr">
        <is>
          <t>Anmerkung / Quelle</t>
        </is>
      </c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65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65" t="inlineStr">
        <is>
          <t>Jans &amp; Willems GbR</t>
        </is>
      </c>
      <c r="H8" s="26" t="n"/>
      <c r="I8" s="26" t="n"/>
      <c r="J8" s="26" t="n"/>
      <c r="L8" s="47" t="inlineStr">
        <is>
          <t>Baesweiler: Pfarrer-Hecker-Str. 33, 41849 Wassenberg, vertreten durch Werner Jans.</t>
        </is>
      </c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65" t="inlineStr">
        <is>
          <t>365° Pflegezentrum Marianne Weiß GmbH</t>
        </is>
      </c>
      <c r="H9" s="26" t="n"/>
      <c r="I9" s="26" t="n"/>
      <c r="J9" s="26" t="n"/>
      <c r="L9" s="47" t="inlineStr">
        <is>
          <t>Baesweiler: opseo-Gruppe; Sitz Alleestraße 68, 42853 Remscheid.</t>
        </is>
      </c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65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65" t="inlineStr">
        <is>
          <t>XXX</t>
        </is>
      </c>
      <c r="H11" s="26" t="n"/>
      <c r="I11" s="26" t="n"/>
      <c r="J11" s="26" t="n"/>
      <c r="L11" s="47" t="inlineStr">
        <is>
          <t>Baesweiler: Im Vertrag nicht genannt.</t>
        </is>
      </c>
    </row>
    <row r="12">
      <c r="B12" s="6" t="inlineStr">
        <is>
          <t>Mietzweck</t>
        </is>
      </c>
      <c r="C12" s="25" t="inlineStr">
        <is>
          <t>Wohnheim für Intesnivpflege mit Untervermietung</t>
        </is>
      </c>
      <c r="D12" s="26" t="n"/>
      <c r="E12" s="26" t="n"/>
      <c r="F12" s="26" t="n"/>
      <c r="G12" s="65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65" t="inlineStr">
        <is>
          <t>5 Jahre</t>
        </is>
      </c>
      <c r="H13" s="26" t="n"/>
      <c r="I13" s="26" t="n"/>
      <c r="J13" s="26" t="n"/>
      <c r="L13" s="47" t="inlineStr">
        <is>
          <t>Würselen: 10 Jahre fest ab Übergabe.  |  Baesweiler: Vertrag läuft auf UNBESTIMMTE ZEIT, mit Kündigungsausschluss nur für die ersten 5 Mietjahre (§2.2). WIDERSPRUCH: §2.3 gewährt das Optionsrecht erst "nach Ablauf der ersten zehn Mietjahre", verlangt die Ausübung aber "6 Monate vor Ablauf der Festlaufzeit" – und Festlaufzeit ist in §2.2 als 5 Jahre definiert. §4.1 fixiert die Miete für 10 Jahre. Folge im Worst Case: ab Jahr 6 beidseitig mit 6 Monaten kündbar. Rechtlich prüfen lassen.</t>
        </is>
      </c>
    </row>
    <row r="14" ht="29" customHeight="1">
      <c r="B14" s="6" t="inlineStr">
        <is>
          <t>Verlängerungsoptionen</t>
        </is>
      </c>
      <c r="C14" s="50" t="inlineStr">
        <is>
          <t>2x 5 Jahre; 
automatische Verlängerung falls keine Kündigung 12 Monate vor Vertragsende erfolgt</t>
        </is>
      </c>
      <c r="D14" s="26" t="n"/>
      <c r="E14" s="26" t="n"/>
      <c r="F14" s="26" t="n"/>
      <c r="G14" s="86" t="inlineStr">
        <is>
          <t>2x 5 Jahre; 
nur auf aktive Ausübung, verlängert jeweils den Kündigungsausschluss</t>
        </is>
      </c>
      <c r="H14" s="26" t="n"/>
      <c r="I14" s="26" t="n"/>
      <c r="J14" s="26" t="n"/>
      <c r="L14" s="47" t="inlineStr">
        <is>
          <t>Würselen: Verlängerung tritt AUTOMATISCH ein, sofern der Mieter nicht 12 Monate vor Ablauf kündigt.  |  Baesweiler: keine Automatik. Der Vertrag läuft ohnehin auf unbestimmte Zeit weiter – die Option verlängert nicht die Laufzeit, sondern den Kündigungsausschluss um je 5 Jahre (§2.3). Wird sie nicht ausgeübt, bleibt der Vertrag bestehen, ist dann aber von beiden Seiten mit 6 Monaten kündbar. Wirtschaftlich zählt daher nur die gesicherte Laufzeit, nicht die unbefristete Fortsetzung.</t>
        </is>
      </c>
    </row>
    <row r="15">
      <c r="B15" s="6" t="inlineStr">
        <is>
          <t>Mietbeginn</t>
        </is>
      </c>
      <c r="C15" s="25" t="inlineStr">
        <is>
          <t>bei Übergabe; ggf. am Monatsersten des Folgemonats</t>
        </is>
      </c>
      <c r="D15" s="26" t="n"/>
      <c r="E15" s="26" t="n"/>
      <c r="F15" s="26" t="n"/>
      <c r="G15" s="65" t="inlineStr">
        <is>
          <t>Monatserster nach Vollzug des Kaufvertrags</t>
        </is>
      </c>
      <c r="H15" s="26" t="n"/>
      <c r="I15" s="26" t="n"/>
      <c r="J15" s="26" t="n"/>
      <c r="L15" s="47" t="inlineStr">
        <is>
          <t>Baesweiler: Vollzugsdatum des Kaufvertrags Kuijpers v. 17.03.2023 zu bestätigen.</t>
        </is>
      </c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  <c r="G16" s="65" t="inlineStr">
        <is>
          <t>keine Vertragsstrafe</t>
        </is>
      </c>
      <c r="H16" s="26" t="n"/>
      <c r="I16" s="26" t="n"/>
      <c r="J16" s="26" t="n"/>
      <c r="L16" s="47" t="inlineStr">
        <is>
          <t>Würselen: Schadensersatz 200 €/Kalendertag, gedeckelt auf 3 Nettomonatsmieten (§3.5).  |  Baesweiler: keinerlei Vertragsstrafe oder Schadensersatzregelung für verspätete Übergabe; Volltextsuche nach Vertragsstrafe/Pönale/Schadensersatz ohne Treffer.</t>
        </is>
      </c>
    </row>
    <row r="17" ht="29" customHeight="1">
      <c r="B17" s="6" t="inlineStr">
        <is>
          <t>Aufschiebende Bedingung / Rücktrittsrecht</t>
        </is>
      </c>
      <c r="C17" s="51" t="inlineStr">
        <is>
          <t>außerordentliche Kündigung bei &gt;3 Monate Verzug</t>
        </is>
      </c>
      <c r="D17" s="26" t="n"/>
      <c r="E17" s="26" t="n"/>
      <c r="F17" s="26" t="n"/>
      <c r="G17" s="65" t="inlineStr">
        <is>
          <t>Vollzug Kaufvertrag Kuijpers; kein Rücktrittsrecht</t>
        </is>
      </c>
      <c r="H17" s="26" t="n"/>
      <c r="I17" s="26" t="n"/>
      <c r="J17" s="26" t="n"/>
      <c r="L17" s="47" t="inlineStr">
        <is>
          <t>Würselen: keine aufschiebende Bedingung.  |  Baesweiler: der gesamte Mietvertrag steht unter der aufschiebenden Bedingung des Vollzugs (Closing) des Kauf- und Übertragungsvertrags über Kuijpers Ambulante Pflege GmbH und PWH GmbH &amp; Co. KG vom 17.03.2023. Ohne Closing wird der Mietvertrag nie wirksam (§158 Abs. 1 BGB) – das ist KEIN Rücktrittsrecht. Ein Rücktrittsrecht enthält der Vertrag nicht; das Sonderkündigungsrecht steht separat in §1.4.</t>
        </is>
      </c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G18" s="65" t="inlineStr">
        <is>
          <t>keine</t>
        </is>
      </c>
      <c r="H18" s="26" t="n"/>
      <c r="I18" s="26" t="n"/>
      <c r="J18" s="26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G19" s="65" t="inlineStr">
        <is>
          <t>keine; Miete 10 Jahre fest</t>
        </is>
      </c>
      <c r="H19" s="26" t="n"/>
      <c r="I19" s="26" t="n"/>
      <c r="J19" s="26" t="n"/>
      <c r="L19" s="47" t="inlineStr">
        <is>
          <t>Baesweiler: Deutlicher Vorteil gegenüber Würselen, das mit 100% der Indexveränderung ab &gt;5% indexiert ist.</t>
        </is>
      </c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G20" s="65" t="inlineStr">
        <is>
          <t>keine</t>
        </is>
      </c>
      <c r="H20" s="26" t="n"/>
      <c r="I20" s="26" t="n"/>
      <c r="J20" s="26" t="n"/>
      <c r="L20" s="47" t="inlineStr">
        <is>
          <t>Baesweiler: §15.1 stellt ausdrücklich klar, dass keine Rückbauverpflichtungen entstehen. Der Vermieter kann die Übernahme von Um-/Einbauten gegen Zeitwertentschädigung verlangen (§8.1.1).</t>
        </is>
      </c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G21" s="65" t="inlineStr">
        <is>
          <t>Ja, zustimmungspflichtig</t>
        </is>
      </c>
      <c r="H21" s="26" t="n"/>
      <c r="I21" s="26" t="n"/>
      <c r="J21" s="26" t="n"/>
      <c r="L21" s="47" t="inlineStr">
        <is>
          <t>Baesweiler: Ohne Zustimmung zulässig an verbundene Unternehmen i.S.d. §§15 ff. AktG sowie an pflegebedürftige Bewohner (§6.1).</t>
        </is>
      </c>
    </row>
    <row r="22" ht="29.5" customHeight="1">
      <c r="B22" s="6" t="inlineStr">
        <is>
          <t>Mietsicherheit</t>
        </is>
      </c>
      <c r="C22" s="51" t="inlineStr">
        <is>
          <t>Bankbürgschaft: 3 Bruttomonatsmieten.</t>
        </is>
      </c>
      <c r="D22" s="52" t="n"/>
      <c r="E22" s="52" t="n"/>
      <c r="F22" s="52" t="n"/>
      <c r="G22" s="66" t="inlineStr">
        <is>
          <t>Patronatserklärung. Größenordnung: 1 Jahreskaltmiete.</t>
        </is>
      </c>
      <c r="H22" s="52" t="n"/>
      <c r="I22" s="52" t="n"/>
      <c r="J22" s="52" t="n"/>
      <c r="L22" s="47" t="inlineStr">
        <is>
          <t>Baesweiler: Patronatserklärung der Muttergesellschaft opseo Intensivpflege Holding B.V. = 102.000 €, binnen 4 Wochen nach Unterzeichnung (§5.1); Austausch bei Gesellschafterwechsel möglich (§5.3).</t>
        </is>
      </c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G23" s="65" t="inlineStr">
        <is>
          <t>nicht geregelt</t>
        </is>
      </c>
      <c r="H23" s="26" t="n"/>
      <c r="I23" s="26" t="n"/>
      <c r="J23" s="26" t="n"/>
      <c r="L23" s="47" t="inlineStr">
        <is>
          <t>Würselen: gewährt nur für den Betrieb eines Wohnheims mit Intensivpflege (§6.3), ausdrücklich NICHT für andere medizinische Intensivpflege jedweder Ausrichtung (§6.4) – die Ausnahme hebt die Zusage weitgehend wieder auf.  |  Baesweiler: im Vertrag nicht geregelt. Alle 21 Paragraphen geprüft, Volltextsuche nach Konkurrenz/Wettbewerb/Exklusivität ohne Treffer. ABER: ein vertragsimmanenter Konkurrenzschutz kann sich nach der Rechtsprechung auch ohne Klausel als Nebenpflicht des Vermieters ergeben – da er hier auch nicht ausgeschlossen wurde, ist das anwaltlich zu bewerten. Ein etwaiges Wettbewerbsverbot dürfte zudem eher im Kaufvertrag vom 17.03.2023 stehen, der uns nicht vorliegt.</t>
        </is>
      </c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  <c r="G24" s="65" t="inlineStr">
        <is>
          <t>Ja, bei Nutzungsuntersagung</t>
        </is>
      </c>
      <c r="H24" s="26" t="n"/>
      <c r="I24" s="26" t="n"/>
      <c r="J24" s="26" t="n"/>
      <c r="L24" s="47" t="inlineStr">
        <is>
          <t>Baesweiler: Bei behördlicher Nutzungsuntersagung wegen des baulichen bzw. bau- und brandschutztechnischen Zustands, sofern der Vermieter sie nicht abwenden kann (§1.4).</t>
        </is>
      </c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G25" s="65" t="inlineStr">
        <is>
          <t>Dach und Fach beim Vermieter; Fläche beim Mieter</t>
        </is>
      </c>
      <c r="H25" s="26" t="n"/>
      <c r="I25" s="26" t="n"/>
      <c r="J25" s="26" t="n"/>
      <c r="L25" s="47" t="inlineStr">
        <is>
          <t>Baesweiler: Übrige Instandhaltung veranlasst der Vermieter, Kosten umgelegt bis max. 5% der jährlichen Nettokaltmiete (§7.2). Schönheitsreparaturen beim Mieter.</t>
        </is>
      </c>
    </row>
    <row r="26">
      <c r="B26" s="6" t="inlineStr">
        <is>
          <t>Besonderheiten / Sonstiges</t>
        </is>
      </c>
      <c r="C26" s="25" t="inlineStr">
        <is>
          <t>umsatzsteuerfrei; Nebenkosten zzgl. USt</t>
        </is>
      </c>
      <c r="D26" s="26" t="n"/>
      <c r="E26" s="26" t="n"/>
      <c r="F26" s="26" t="n"/>
      <c r="G26" s="65" t="inlineStr">
        <is>
          <t>Schlussabnahme fehlt; Inventar vermieterseitig gestellt</t>
        </is>
      </c>
      <c r="H26" s="26" t="n"/>
      <c r="I26" s="26" t="n"/>
      <c r="J26" s="26" t="n"/>
      <c r="L26" s="47" t="inlineStr">
        <is>
          <t>Baesweiler: RED FLAG: Schlussabnahmebescheinigung liegt nicht vor, Nachtragsgenehmigung seit 02.02.2022 beantragt (§1.1) – zusammen mit dem Sonderkündigungsrecht aus §1.4 zu bewerten. Eigener Stromliefervertrag mit Abnahmepflicht für PV-Strom (§4.2.2). Eintritt in bestehende Untermietverträge (§18). Verkehrssicherung und Winterdienst beim Mieter (§17). Keine USt auf die Miete (§4.1). Gerichtsstand Wassenberg.</t>
        </is>
      </c>
    </row>
    <row r="27" ht="6.75" customHeight="1" thickBot="1">
      <c r="B27" s="7" t="n"/>
      <c r="C27" s="8" t="n"/>
      <c r="D27" s="7" t="n"/>
      <c r="E27" s="7" t="n"/>
      <c r="F27" s="7" t="n"/>
      <c r="G27" s="67" t="n"/>
      <c r="H27" s="7" t="n"/>
      <c r="I27" s="7" t="n"/>
      <c r="J27" s="7" t="n"/>
    </row>
    <row r="28">
      <c r="G28" s="59" t="n"/>
    </row>
    <row r="29">
      <c r="B29" s="9" t="inlineStr">
        <is>
          <t>Benchmarks (Neubau)</t>
        </is>
      </c>
      <c r="C29" s="9" t="n"/>
      <c r="D29" s="9" t="n"/>
      <c r="E29" s="9" t="n"/>
      <c r="F29" s="9" t="n"/>
      <c r="G29" s="68" t="n"/>
      <c r="H29" s="9" t="n"/>
      <c r="I29" s="9" t="n"/>
      <c r="J29" s="9" t="n"/>
    </row>
    <row r="30">
      <c r="B30" s="6" t="inlineStr">
        <is>
          <t>Miete/m² (Neubau) - kein BKZ</t>
        </is>
      </c>
      <c r="C30" s="69" t="n">
        <v>20</v>
      </c>
      <c r="D30" s="26" t="n"/>
      <c r="E30" s="26" t="n"/>
      <c r="F30" s="26" t="n"/>
      <c r="G30" s="70" t="n">
        <v>20</v>
      </c>
      <c r="H30" s="26" t="n"/>
      <c r="I30" s="26" t="n"/>
      <c r="J30" s="26" t="n"/>
    </row>
    <row r="31">
      <c r="B31" s="6" t="inlineStr">
        <is>
          <t>Miete/m² inkl. BKZ</t>
        </is>
      </c>
      <c r="C31" s="69" t="n">
        <v>20</v>
      </c>
      <c r="D31" s="26" t="n"/>
      <c r="E31" s="26" t="n"/>
      <c r="F31" s="26" t="n"/>
      <c r="G31" s="70" t="n">
        <v>20</v>
      </c>
      <c r="H31" s="26" t="n"/>
      <c r="I31" s="26" t="n"/>
      <c r="J31" s="26" t="n"/>
    </row>
    <row r="32">
      <c r="B32" s="6" t="inlineStr">
        <is>
          <t>Nebenkosten/m²</t>
        </is>
      </c>
      <c r="C32" s="69" t="n">
        <v>3</v>
      </c>
      <c r="D32" s="26" t="n"/>
      <c r="E32" s="26" t="n"/>
      <c r="F32" s="26" t="n"/>
      <c r="G32" s="70" t="n">
        <v>3</v>
      </c>
      <c r="H32" s="26" t="n"/>
      <c r="I32" s="26" t="n"/>
      <c r="J32" s="26" t="n"/>
    </row>
    <row r="33">
      <c r="B33" s="6" t="inlineStr">
        <is>
          <t>Fläche pro Bett</t>
        </is>
      </c>
      <c r="C33" s="71" t="inlineStr">
        <is>
          <t>50m²</t>
        </is>
      </c>
      <c r="D33" s="72" t="inlineStr">
        <is>
          <t xml:space="preserve"> (d.h. 6er WG: 300m²; 12er WG: 600m²)</t>
        </is>
      </c>
      <c r="E33" s="26" t="n"/>
      <c r="F33" s="26" t="n"/>
      <c r="G33" s="73" t="inlineStr">
        <is>
          <t>50m²</t>
        </is>
      </c>
      <c r="H33" s="72" t="inlineStr">
        <is>
          <t xml:space="preserve"> (d.h. 6er WG: 300m²; 12er WG: 600m²)</t>
        </is>
      </c>
      <c r="I33" s="26" t="n"/>
      <c r="J33" s="26" t="n"/>
    </row>
    <row r="34">
      <c r="B34" s="6" t="inlineStr">
        <is>
          <t>Miete pro Bett pro Monat (exkl. Baukostenzuschuss)</t>
        </is>
      </c>
      <c r="C34" s="71" t="n">
        <v>1000</v>
      </c>
      <c r="D34" s="26" t="n"/>
      <c r="E34" s="26" t="n"/>
      <c r="F34" s="26" t="n"/>
      <c r="G34" s="73" t="n">
        <v>1000</v>
      </c>
      <c r="H34" s="26" t="n"/>
      <c r="I34" s="26" t="n"/>
      <c r="J34" s="26" t="n"/>
    </row>
    <row r="35">
      <c r="B35" s="6" t="inlineStr">
        <is>
          <t>Miete pro Bett pro Monat (inkl. BKZ über 10 Jahre)</t>
        </is>
      </c>
      <c r="C35" s="71">
        <f>+C34</f>
        <v/>
      </c>
      <c r="D35" s="26" t="n"/>
      <c r="E35" s="26" t="n"/>
      <c r="F35" s="26" t="n"/>
      <c r="G35" s="73">
        <f>+G34</f>
        <v/>
      </c>
      <c r="H35" s="26" t="n"/>
      <c r="I35" s="26" t="n"/>
      <c r="J35" s="26" t="n"/>
    </row>
    <row r="36">
      <c r="B36" s="6" t="inlineStr">
        <is>
          <t>Baukostenzuschuss pro Bett</t>
        </is>
      </c>
      <c r="C36" s="71" t="n">
        <v>0</v>
      </c>
      <c r="D36" s="72" t="n"/>
      <c r="E36" s="26" t="n"/>
      <c r="F36" s="26" t="n"/>
      <c r="G36" s="73" t="n">
        <v>0</v>
      </c>
      <c r="H36" s="72" t="n"/>
      <c r="I36" s="26" t="n"/>
      <c r="J36" s="26" t="n"/>
    </row>
    <row r="37">
      <c r="B37" s="6" t="inlineStr">
        <is>
          <t>Capex pro Bett (Möbel, Ausstattung, etc.)</t>
        </is>
      </c>
      <c r="C37" s="71" t="n">
        <v>30000</v>
      </c>
      <c r="D37" s="26" t="n"/>
      <c r="E37" s="26" t="n"/>
      <c r="F37" s="26" t="n"/>
      <c r="G37" s="73" t="n">
        <v>30000</v>
      </c>
      <c r="H37" s="26" t="n"/>
      <c r="I37" s="26" t="n"/>
      <c r="J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  <c r="G38" s="65" t="inlineStr">
        <is>
          <t>TBD</t>
        </is>
      </c>
      <c r="H38" s="26" t="n"/>
      <c r="I38" s="26" t="n"/>
      <c r="J38" s="26" t="n"/>
    </row>
    <row r="39">
      <c r="G39" s="59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  <c r="G40" s="68" t="n"/>
      <c r="H40" s="9" t="n"/>
      <c r="I40" s="9" t="n"/>
      <c r="J40" s="9" t="n"/>
    </row>
    <row r="41">
      <c r="B41" s="6" t="inlineStr">
        <is>
          <t>Miete/m² (Bestand) - kein BKZ</t>
        </is>
      </c>
      <c r="C41" s="69" t="n">
        <v>20</v>
      </c>
      <c r="D41" s="26" t="n"/>
      <c r="E41" s="26" t="n"/>
      <c r="F41" s="26" t="n"/>
      <c r="G41" s="70" t="n">
        <v>20</v>
      </c>
      <c r="H41" s="26" t="n"/>
      <c r="I41" s="26" t="n"/>
      <c r="J41" s="26" t="n"/>
    </row>
    <row r="42">
      <c r="B42" s="6" t="inlineStr">
        <is>
          <t>Miete/m² (Bestand) inkl. BKZ</t>
        </is>
      </c>
      <c r="C42" s="69" t="n">
        <v>25</v>
      </c>
      <c r="D42" s="26" t="n"/>
      <c r="E42" s="26" t="n"/>
      <c r="F42" s="26" t="n"/>
      <c r="G42" s="70" t="n">
        <v>25</v>
      </c>
      <c r="H42" s="26" t="n"/>
      <c r="I42" s="26" t="n"/>
      <c r="J42" s="26" t="n"/>
    </row>
    <row r="43">
      <c r="B43" s="6" t="inlineStr">
        <is>
          <t>Nebenkosten/m²</t>
        </is>
      </c>
      <c r="C43" s="69" t="n">
        <v>3</v>
      </c>
      <c r="D43" s="26" t="n"/>
      <c r="E43" s="26" t="n"/>
      <c r="F43" s="26" t="n"/>
      <c r="G43" s="70" t="n">
        <v>3</v>
      </c>
      <c r="H43" s="26" t="n"/>
      <c r="I43" s="26" t="n"/>
      <c r="J43" s="26" t="n"/>
    </row>
    <row r="44">
      <c r="B44" s="6" t="inlineStr">
        <is>
          <t>Fläche pro Bett</t>
        </is>
      </c>
      <c r="C44" s="71" t="inlineStr">
        <is>
          <t>50m²</t>
        </is>
      </c>
      <c r="D44" s="72" t="inlineStr">
        <is>
          <t xml:space="preserve"> (d.h. 6er WG: 300m²; 12er WG: 600m²)</t>
        </is>
      </c>
      <c r="E44" s="26" t="n"/>
      <c r="F44" s="26" t="n"/>
      <c r="G44" s="73" t="inlineStr">
        <is>
          <t>50m²</t>
        </is>
      </c>
      <c r="H44" s="72" t="inlineStr">
        <is>
          <t xml:space="preserve"> (d.h. 6er WG: 300m²; 12er WG: 600m²)</t>
        </is>
      </c>
      <c r="I44" s="26" t="n"/>
      <c r="J44" s="26" t="n"/>
    </row>
    <row r="45">
      <c r="B45" s="6" t="inlineStr">
        <is>
          <t>Miete pro Bett pro Monat (exkl. Baukostenzuschuss)</t>
        </is>
      </c>
      <c r="C45" s="71" t="n">
        <v>1000</v>
      </c>
      <c r="D45" s="26" t="n"/>
      <c r="E45" s="26" t="n"/>
      <c r="F45" s="26" t="n"/>
      <c r="G45" s="73" t="n">
        <v>1000</v>
      </c>
      <c r="H45" s="26" t="n"/>
      <c r="I45" s="26" t="n"/>
      <c r="J45" s="26" t="n"/>
    </row>
    <row r="46">
      <c r="B46" s="6" t="inlineStr">
        <is>
          <t>Miete pro Bett pro Monat (inkl. BKZ über 10 Jahre)</t>
        </is>
      </c>
      <c r="C46" s="71" t="n">
        <v>1250</v>
      </c>
      <c r="D46" s="26" t="n"/>
      <c r="E46" s="26" t="n"/>
      <c r="F46" s="26" t="n"/>
      <c r="G46" s="73" t="n">
        <v>1250</v>
      </c>
      <c r="H46" s="26" t="n"/>
      <c r="I46" s="26" t="n"/>
      <c r="J46" s="26" t="n"/>
    </row>
    <row r="47">
      <c r="B47" s="6" t="inlineStr">
        <is>
          <t>Baukostenzuschuss pro Bett</t>
        </is>
      </c>
      <c r="C47" s="71" t="n">
        <v>40000</v>
      </c>
      <c r="D47" s="72" t="inlineStr">
        <is>
          <t>(d.h. 6er WG: 180.000 €, 12er WG: 360.000 €)</t>
        </is>
      </c>
      <c r="E47" s="26" t="n"/>
      <c r="F47" s="26" t="n"/>
      <c r="G47" s="73" t="n">
        <v>40000</v>
      </c>
      <c r="H47" s="72" t="inlineStr">
        <is>
          <t>(d.h. 6er WG: 180.000 €, 12er WG: 360.000 €)</t>
        </is>
      </c>
      <c r="I47" s="26" t="n"/>
      <c r="J47" s="26" t="n"/>
    </row>
    <row r="48">
      <c r="B48" s="6" t="inlineStr">
        <is>
          <t>Capex pro Bett (Möbel, Ausstattung, etc.)</t>
        </is>
      </c>
      <c r="C48" s="71" t="n">
        <v>30000</v>
      </c>
      <c r="D48" s="26" t="n"/>
      <c r="E48" s="26" t="n"/>
      <c r="F48" s="26" t="n"/>
      <c r="G48" s="73" t="n">
        <v>30000</v>
      </c>
      <c r="H48" s="26" t="n"/>
      <c r="I48" s="26" t="n"/>
      <c r="J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  <c r="G49" s="74" t="n">
        <v>0</v>
      </c>
      <c r="H49" s="26" t="n"/>
      <c r="I49" s="26" t="n"/>
      <c r="J49" s="26" t="n"/>
    </row>
    <row r="50">
      <c r="G50" s="59" t="n"/>
    </row>
    <row r="51">
      <c r="B51" s="9" t="inlineStr">
        <is>
          <t>Mietkosten</t>
        </is>
      </c>
      <c r="C51" s="9" t="n"/>
      <c r="D51" s="9" t="n"/>
      <c r="E51" s="9" t="n"/>
      <c r="F51" s="9" t="n"/>
      <c r="G51" s="68" t="n"/>
      <c r="H51" s="9" t="n"/>
      <c r="I51" s="9" t="n"/>
      <c r="J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  <c r="G52" s="75" t="n"/>
      <c r="H52" s="10" t="n"/>
      <c r="I52" s="10" t="n"/>
      <c r="J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  <c r="G53" s="74" t="inlineStr">
        <is>
          <t>WG (Intensivpflege-Wohngemeinschaft)</t>
        </is>
      </c>
      <c r="H53" s="26" t="n"/>
      <c r="I53" s="26" t="n"/>
      <c r="J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  <c r="G54" s="74" t="inlineStr">
        <is>
          <t>XXX</t>
        </is>
      </c>
      <c r="H54" s="26" t="n"/>
      <c r="I54" s="26" t="n"/>
      <c r="J54" s="26" t="n"/>
      <c r="L54" s="47" t="inlineStr">
        <is>
          <t>Baesweiler: Etagenlage im Vertrag nicht spezifiziert; Abstellräume im Kellergeschoss erfasst (§1.1). Die EG-Wohnung ist nicht Mietgegenstand (§9.3).</t>
        </is>
      </c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G55" s="74" t="n">
        <v>18</v>
      </c>
      <c r="H55" s="26" t="n"/>
      <c r="I55" s="26" t="n"/>
      <c r="J55" s="26" t="n"/>
      <c r="L55" s="47" t="inlineStr">
        <is>
          <t>Würselen: Bettenzahl in keinem der vier Dokumente genannt – vom Target anzufordern.  |  Baesweiler: ca. 18 Patientenzimmer (§1.1); die NK-Kalkulation (250 €/Platz = 4.700 €) impliziert 18,8 Plätze.</t>
        </is>
      </c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  <c r="G56" s="76" t="n">
        <v>1082</v>
      </c>
      <c r="H56" s="26" t="n"/>
      <c r="I56" s="26" t="n"/>
      <c r="J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  <c r="G57" s="77" t="inlineStr">
        <is>
          <t>XXX</t>
        </is>
      </c>
      <c r="H57" s="26" t="n"/>
      <c r="I57" s="26" t="n"/>
      <c r="J57" s="26" t="n"/>
    </row>
    <row r="58">
      <c r="G58" s="59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  <c r="G59" s="78" t="inlineStr">
        <is>
          <t>Anzahl</t>
        </is>
      </c>
      <c r="H59" s="12" t="inlineStr">
        <is>
          <t>€ pro Einheit</t>
        </is>
      </c>
      <c r="I59" s="12" t="inlineStr">
        <is>
          <t>€ pro Monat</t>
        </is>
      </c>
      <c r="J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  <c r="G60" s="79" t="n">
        <v>1082</v>
      </c>
      <c r="H60" s="31" t="n">
        <v>7.855822550831793</v>
      </c>
      <c r="I60" s="13">
        <f>+G60*H60</f>
        <v/>
      </c>
      <c r="J60" s="13">
        <f>+I60*12</f>
        <v/>
      </c>
      <c r="L60" s="47" t="inlineStr">
        <is>
          <t>Baesweiler: Pauschalmiete 8.500 € bzw. NK-Pauschale 4.700 €; die qm-Preise sind rechnerisch abgeleitet.</t>
        </is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  <c r="G61" s="80">
        <f>+G60</f>
        <v/>
      </c>
      <c r="H61" s="33" t="n">
        <v>4.343807763401109</v>
      </c>
      <c r="I61" s="13">
        <f>+G61*H61</f>
        <v/>
      </c>
      <c r="J61" s="13">
        <f>+I61*12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  <c r="G62" s="81" t="n">
        <v>0</v>
      </c>
      <c r="H62" s="33" t="n">
        <v>0</v>
      </c>
      <c r="I62" s="13">
        <f>+G62*H62</f>
        <v/>
      </c>
      <c r="J62" s="13">
        <f>+I62*12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  <c r="G63" s="80" t="n">
        <v>0</v>
      </c>
      <c r="H63" s="33" t="n">
        <v>0</v>
      </c>
      <c r="I63" s="13">
        <f>+G63*H63</f>
        <v/>
      </c>
      <c r="J63" s="13">
        <f>+I63*12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  <c r="G64" s="80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  <c r="G65" s="81" t="n">
        <v>0</v>
      </c>
      <c r="H65" s="33" t="n">
        <v>0</v>
      </c>
      <c r="I65" s="13">
        <f>+G65*H65</f>
        <v/>
      </c>
      <c r="J65" s="13">
        <f>+I65*12</f>
        <v/>
      </c>
    </row>
    <row r="66" ht="8.25" customHeight="1">
      <c r="B66" s="14" t="n"/>
      <c r="C66" s="15" t="n"/>
      <c r="D66" s="16" t="n"/>
      <c r="E66" s="17" t="n"/>
      <c r="F66" s="17" t="n"/>
      <c r="G66" s="82" t="n"/>
      <c r="H66" s="16" t="n"/>
      <c r="I66" s="17" t="n"/>
      <c r="J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83" t="n"/>
      <c r="H67" s="19" t="n"/>
      <c r="I67" s="20">
        <f>+SUM(I60:I66)</f>
        <v/>
      </c>
      <c r="J67" s="20">
        <f>+SUM(J60:J66)</f>
        <v/>
      </c>
    </row>
    <row r="68" ht="6.75" customHeight="1" thickBot="1">
      <c r="B68" s="7" t="n"/>
      <c r="C68" s="8" t="n"/>
      <c r="D68" s="7" t="n"/>
      <c r="E68" s="7" t="n"/>
      <c r="F68" s="7" t="n"/>
      <c r="G68" s="67" t="n"/>
      <c r="H68" s="7" t="n"/>
      <c r="I68" s="7" t="n"/>
      <c r="J68" s="7" t="n"/>
    </row>
    <row r="69">
      <c r="G69" s="59" t="n"/>
    </row>
    <row r="70">
      <c r="B70" s="10" t="inlineStr">
        <is>
          <t>Einheit 2</t>
        </is>
      </c>
      <c r="C70" s="10" t="n"/>
      <c r="D70" s="10" t="n"/>
      <c r="E70" s="10" t="n"/>
      <c r="F70" s="10" t="n"/>
      <c r="G70" s="75" t="n"/>
      <c r="H70" s="10" t="n"/>
      <c r="I70" s="10" t="n"/>
      <c r="J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  <c r="G71" s="74" t="inlineStr">
        <is>
          <t>entfällt</t>
        </is>
      </c>
      <c r="H71" s="26" t="n"/>
      <c r="I71" s="26" t="n"/>
      <c r="J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  <c r="G72" s="74" t="n"/>
      <c r="H72" s="26" t="n"/>
      <c r="I72" s="26" t="n"/>
      <c r="J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G73" s="74" t="n">
        <v>0</v>
      </c>
      <c r="H73" s="26" t="n"/>
      <c r="I73" s="26" t="n"/>
      <c r="J73" s="26" t="n"/>
      <c r="L73" s="47" t="inlineStr">
        <is>
          <t>Würselen: Skizze Anlage N 3-1 sieht 5 Bewohner-Apartments vor.</t>
        </is>
      </c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  <c r="G74" s="76" t="n">
        <v>0</v>
      </c>
      <c r="H74" s="26" t="n"/>
      <c r="I74" s="26" t="n"/>
      <c r="J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  <c r="G75" s="77" t="n"/>
      <c r="H75" s="26" t="n"/>
      <c r="I75" s="26" t="n"/>
      <c r="J75" s="26" t="n"/>
    </row>
    <row r="76">
      <c r="G76" s="59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  <c r="G77" s="78" t="inlineStr">
        <is>
          <t>Anzahl</t>
        </is>
      </c>
      <c r="H77" s="12" t="inlineStr">
        <is>
          <t>€ pro Einheit</t>
        </is>
      </c>
      <c r="I77" s="12" t="inlineStr">
        <is>
          <t>€ pro Monat</t>
        </is>
      </c>
      <c r="J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  <c r="G78" s="79" t="n">
        <v>0</v>
      </c>
      <c r="H78" s="31" t="n">
        <v>0</v>
      </c>
      <c r="I78" s="13">
        <f>+G78*H78</f>
        <v/>
      </c>
      <c r="J78" s="13">
        <f>+I78*12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  <c r="G79" s="80">
        <f>+G78</f>
        <v/>
      </c>
      <c r="H79" s="33" t="n">
        <v>0</v>
      </c>
      <c r="I79" s="13">
        <f>+G79*H79</f>
        <v/>
      </c>
      <c r="J79" s="13">
        <f>+I79*12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  <c r="G80" s="81" t="n">
        <v>0</v>
      </c>
      <c r="H80" s="33" t="n">
        <v>0</v>
      </c>
      <c r="I80" s="13">
        <f>+G80*H80</f>
        <v/>
      </c>
      <c r="J80" s="13">
        <f>+I80*12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  <c r="G81" s="80" t="n">
        <v>0</v>
      </c>
      <c r="H81" s="33" t="n">
        <v>0</v>
      </c>
      <c r="I81" s="13">
        <f>+G81*H81</f>
        <v/>
      </c>
      <c r="J81" s="13">
        <f>+I81*12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  <c r="G82" s="80" t="n">
        <v>0</v>
      </c>
      <c r="H82" s="33" t="n">
        <v>0</v>
      </c>
      <c r="I82" s="13">
        <f>+G82*H82</f>
        <v/>
      </c>
      <c r="J82" s="13">
        <f>+I82*12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  <c r="G83" s="81" t="n">
        <v>0</v>
      </c>
      <c r="H83" s="33" t="n">
        <v>0</v>
      </c>
      <c r="I83" s="13">
        <f>+G83*H83</f>
        <v/>
      </c>
      <c r="J83" s="13">
        <f>+I83*12</f>
        <v/>
      </c>
    </row>
    <row r="84" ht="8.25" customHeight="1">
      <c r="B84" s="14" t="n"/>
      <c r="C84" s="15" t="n"/>
      <c r="D84" s="16" t="n"/>
      <c r="E84" s="17" t="n"/>
      <c r="F84" s="17" t="n"/>
      <c r="G84" s="82" t="n"/>
      <c r="H84" s="16" t="n"/>
      <c r="I84" s="17" t="n"/>
      <c r="J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83" t="n"/>
      <c r="H85" s="19" t="n"/>
      <c r="I85" s="20">
        <f>+SUM(I78:I84)</f>
        <v/>
      </c>
      <c r="J85" s="20">
        <f>+SUM(J78:J84)</f>
        <v/>
      </c>
    </row>
    <row r="86" ht="6.75" customHeight="1" thickBot="1">
      <c r="B86" s="7" t="n"/>
      <c r="C86" s="8" t="n"/>
      <c r="D86" s="7" t="n"/>
      <c r="E86" s="7" t="n"/>
      <c r="F86" s="7" t="n"/>
      <c r="G86" s="67" t="n"/>
      <c r="H86" s="7" t="n"/>
      <c r="I86" s="7" t="n"/>
      <c r="J86" s="7" t="n"/>
    </row>
    <row r="87">
      <c r="G87" s="59" t="n"/>
    </row>
    <row r="88">
      <c r="B88" s="10" t="inlineStr">
        <is>
          <t>Einheit 3</t>
        </is>
      </c>
      <c r="C88" s="10" t="n"/>
      <c r="D88" s="10" t="n"/>
      <c r="E88" s="10" t="n"/>
      <c r="F88" s="10" t="n"/>
      <c r="G88" s="75" t="n"/>
      <c r="H88" s="10" t="n"/>
      <c r="I88" s="10" t="n"/>
      <c r="J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  <c r="G89" s="74" t="inlineStr">
        <is>
          <t>entfällt</t>
        </is>
      </c>
      <c r="H89" s="26" t="n"/>
      <c r="I89" s="26" t="n"/>
      <c r="J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G90" s="74" t="n"/>
      <c r="H90" s="26" t="n"/>
      <c r="I90" s="26" t="n"/>
      <c r="J90" s="26" t="n"/>
      <c r="L90" s="47" t="inlineStr">
        <is>
          <t>Würselen: Laut 1. Nachtrag im 4. OG, alternativ im 1. OG. Läge sie im 1. OG, wäre sie im "kompletten 1. OG" des 3. Nachtrags enthalten und doppelt erfasst; die strikt additive Mietsumme spricht für das 4. OG.</t>
        </is>
      </c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  <c r="G91" s="74" t="n">
        <v>0</v>
      </c>
      <c r="H91" s="26" t="n"/>
      <c r="I91" s="26" t="n"/>
      <c r="J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  <c r="G92" s="76" t="n">
        <v>0</v>
      </c>
      <c r="H92" s="26" t="n"/>
      <c r="I92" s="26" t="n"/>
      <c r="J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  <c r="G93" s="77" t="n"/>
      <c r="H93" s="26" t="n"/>
      <c r="I93" s="26" t="n"/>
      <c r="J93" s="26" t="n"/>
    </row>
    <row r="94">
      <c r="G94" s="59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  <c r="G95" s="78" t="inlineStr">
        <is>
          <t>Anzahl</t>
        </is>
      </c>
      <c r="H95" s="12" t="inlineStr">
        <is>
          <t>€ pro Einheit</t>
        </is>
      </c>
      <c r="I95" s="12" t="inlineStr">
        <is>
          <t>€ pro Monat</t>
        </is>
      </c>
      <c r="J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  <c r="G96" s="79" t="n">
        <v>0</v>
      </c>
      <c r="H96" s="31" t="n">
        <v>0</v>
      </c>
      <c r="I96" s="13">
        <f>+G96*H96</f>
        <v/>
      </c>
      <c r="J96" s="13">
        <f>+I96*12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  <c r="G97" s="80">
        <f>+G96</f>
        <v/>
      </c>
      <c r="H97" s="33" t="n">
        <v>0</v>
      </c>
      <c r="I97" s="13">
        <f>+G97*H97</f>
        <v/>
      </c>
      <c r="J97" s="13">
        <f>+I97*12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  <c r="G98" s="81" t="n">
        <v>0</v>
      </c>
      <c r="H98" s="33" t="n">
        <v>0</v>
      </c>
      <c r="I98" s="13">
        <f>+G98*H98</f>
        <v/>
      </c>
      <c r="J98" s="13">
        <f>+I98*12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  <c r="G99" s="80" t="n">
        <v>0</v>
      </c>
      <c r="H99" s="33" t="n">
        <v>0</v>
      </c>
      <c r="I99" s="13">
        <f>+G99*H99</f>
        <v/>
      </c>
      <c r="J99" s="13">
        <f>+I99*12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  <c r="G100" s="80" t="n">
        <v>0</v>
      </c>
      <c r="H100" s="33" t="n">
        <v>0</v>
      </c>
      <c r="I100" s="13">
        <f>+G100*H100</f>
        <v/>
      </c>
      <c r="J100" s="13">
        <f>+I100*12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  <c r="G101" s="81" t="n">
        <v>0</v>
      </c>
      <c r="H101" s="33" t="n">
        <v>0</v>
      </c>
      <c r="I101" s="13">
        <f>+G101*H101</f>
        <v/>
      </c>
      <c r="J101" s="13">
        <f>+I101*12</f>
        <v/>
      </c>
    </row>
    <row r="102" ht="8.25" customHeight="1">
      <c r="B102" s="14" t="n"/>
      <c r="C102" s="15" t="n"/>
      <c r="D102" s="16" t="n"/>
      <c r="E102" s="17" t="n"/>
      <c r="F102" s="17" t="n"/>
      <c r="G102" s="82" t="n"/>
      <c r="H102" s="16" t="n"/>
      <c r="I102" s="17" t="n"/>
      <c r="J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83" t="n"/>
      <c r="H103" s="19" t="n"/>
      <c r="I103" s="20">
        <f>+SUM(I96:I102)</f>
        <v/>
      </c>
      <c r="J103" s="20">
        <f>+SUM(J96:J102)</f>
        <v/>
      </c>
    </row>
    <row r="104" ht="6.75" customHeight="1" thickBot="1">
      <c r="B104" s="7" t="n"/>
      <c r="C104" s="8" t="n"/>
      <c r="D104" s="7" t="n"/>
      <c r="E104" s="7" t="n"/>
      <c r="F104" s="7" t="n"/>
      <c r="G104" s="67" t="n"/>
      <c r="H104" s="7" t="n"/>
      <c r="I104" s="7" t="n"/>
      <c r="J104" s="7" t="n"/>
    </row>
    <row r="105">
      <c r="G105" s="59" t="n"/>
    </row>
    <row r="106">
      <c r="G106" s="59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  <c r="G107" s="84" t="inlineStr">
        <is>
          <t>Anmerkungen</t>
        </is>
      </c>
      <c r="H107" s="24" t="n"/>
      <c r="I107" s="24" t="n"/>
      <c r="J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56" t="n">
        <v>0</v>
      </c>
      <c r="G108" s="85" t="inlineStr">
        <is>
          <t>XXX</t>
        </is>
      </c>
      <c r="H108" s="37" t="n"/>
      <c r="I108" s="38" t="n"/>
      <c r="J108" s="33" t="n">
        <v>0</v>
      </c>
      <c r="L108" s="47" t="inlineStr">
        <is>
          <t>Baesweiler: Inventar (Einbauküchen, Pflegebetten, Vorhänge) vermieterseitig gestellt und im Mietzins enthalten (§1.2).</t>
        </is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56" t="n">
        <v>0</v>
      </c>
      <c r="G109" s="65" t="inlineStr">
        <is>
          <t>XXX</t>
        </is>
      </c>
      <c r="H109" s="39" t="n"/>
      <c r="I109" s="40" t="n"/>
      <c r="J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56" t="n">
        <v>0</v>
      </c>
      <c r="G110" s="65" t="inlineStr">
        <is>
          <t>XXX</t>
        </is>
      </c>
      <c r="H110" s="39" t="n"/>
      <c r="I110" s="40" t="n"/>
      <c r="J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56" t="n">
        <v>0</v>
      </c>
      <c r="G111" s="65" t="inlineStr">
        <is>
          <t>XXX</t>
        </is>
      </c>
      <c r="H111" s="39" t="n"/>
      <c r="I111" s="40" t="n"/>
      <c r="J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6" t="n">
        <v>0</v>
      </c>
      <c r="G112" s="65" t="inlineStr">
        <is>
          <t>XXX</t>
        </is>
      </c>
      <c r="H112" s="39" t="n"/>
      <c r="I112" s="40" t="n"/>
      <c r="J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56" t="n">
        <v>0</v>
      </c>
      <c r="G113" s="65" t="inlineStr">
        <is>
          <t>XXX</t>
        </is>
      </c>
      <c r="H113" s="39" t="n"/>
      <c r="I113" s="40" t="n"/>
      <c r="J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56" t="n">
        <v>0</v>
      </c>
      <c r="G114" s="65" t="inlineStr">
        <is>
          <t>XXX</t>
        </is>
      </c>
      <c r="H114" s="39" t="n"/>
      <c r="I114" s="40" t="n"/>
      <c r="J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6" t="n">
        <v>0</v>
      </c>
      <c r="G115" s="65" t="inlineStr">
        <is>
          <t>XXX</t>
        </is>
      </c>
      <c r="H115" s="39" t="n"/>
      <c r="I115" s="40" t="n"/>
      <c r="J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6" t="n">
        <v>0</v>
      </c>
      <c r="G116" s="65" t="inlineStr">
        <is>
          <t>XXX</t>
        </is>
      </c>
      <c r="H116" s="39" t="n"/>
      <c r="I116" s="40" t="n"/>
      <c r="J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6" t="n">
        <v>0</v>
      </c>
      <c r="G117" s="65" t="inlineStr">
        <is>
          <t>XXX</t>
        </is>
      </c>
      <c r="H117" s="39" t="n"/>
      <c r="I117" s="40" t="n"/>
      <c r="J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6" t="n">
        <v>0</v>
      </c>
      <c r="G118" s="65" t="inlineStr">
        <is>
          <t>XXX</t>
        </is>
      </c>
      <c r="H118" s="39" t="n"/>
      <c r="I118" s="40" t="n"/>
      <c r="J118" s="33" t="n">
        <v>0</v>
      </c>
    </row>
    <row r="119" ht="8.25" customHeight="1">
      <c r="B119" s="14" t="n"/>
      <c r="C119" s="15" t="n"/>
      <c r="D119" s="16" t="n"/>
      <c r="E119" s="17" t="n"/>
      <c r="F119" s="17" t="n"/>
      <c r="G119" s="82" t="n"/>
      <c r="H119" s="16" t="n"/>
      <c r="I119" s="17" t="n"/>
      <c r="J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83" t="n"/>
      <c r="H120" s="19" t="n"/>
      <c r="I120" s="20" t="n"/>
      <c r="J120" s="20">
        <f>+SUM(J108:J119)</f>
        <v/>
      </c>
    </row>
    <row r="121" ht="6.75" customHeight="1" thickBot="1">
      <c r="B121" s="7" t="n"/>
      <c r="C121" s="8" t="n"/>
      <c r="D121" s="7" t="n"/>
      <c r="E121" s="7" t="n"/>
      <c r="F121" s="7" t="n"/>
      <c r="G121" s="67" t="n"/>
      <c r="H121" s="7" t="n"/>
      <c r="I121" s="7" t="n"/>
      <c r="J121" s="7" t="n"/>
    </row>
    <row r="122" ht="6.75" customHeight="1">
      <c r="G122" s="59" t="n"/>
    </row>
    <row r="123">
      <c r="B123" s="21" t="inlineStr">
        <is>
          <t>davon:</t>
        </is>
      </c>
      <c r="G123" s="59" t="n"/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56" t="n">
        <v>0</v>
      </c>
      <c r="G124" s="65" t="inlineStr">
        <is>
          <t>XXX</t>
        </is>
      </c>
      <c r="H124" s="39" t="n"/>
      <c r="I124" s="40" t="n"/>
      <c r="J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56" t="n">
        <v>0</v>
      </c>
      <c r="G125" s="65" t="inlineStr">
        <is>
          <t>XXX</t>
        </is>
      </c>
      <c r="H125" s="39" t="n"/>
      <c r="I125" s="40" t="n"/>
      <c r="J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  <c r="G126" s="67" t="n"/>
      <c r="H126" s="7" t="n"/>
      <c r="I126" s="7" t="n"/>
      <c r="J126" s="7" t="n"/>
    </row>
    <row r="127">
      <c r="G127" s="59" t="n"/>
    </row>
    <row r="128">
      <c r="G128" s="59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  <c r="G129" s="84" t="inlineStr">
        <is>
          <t>Anmerkungen</t>
        </is>
      </c>
      <c r="H129" s="24" t="n"/>
      <c r="I129" s="24" t="n"/>
      <c r="J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6" t="n">
        <v>0</v>
      </c>
      <c r="G130" s="85" t="inlineStr">
        <is>
          <t>XXX</t>
        </is>
      </c>
      <c r="H130" s="37" t="n"/>
      <c r="I130" s="38" t="n"/>
      <c r="J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6" t="n">
        <v>0</v>
      </c>
      <c r="G131" s="65" t="inlineStr">
        <is>
          <t>XXX</t>
        </is>
      </c>
      <c r="H131" s="39" t="n"/>
      <c r="I131" s="40" t="n"/>
      <c r="J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6" t="n">
        <v>0</v>
      </c>
      <c r="G132" s="65" t="inlineStr">
        <is>
          <t>XXX</t>
        </is>
      </c>
      <c r="H132" s="39" t="n"/>
      <c r="I132" s="40" t="n"/>
      <c r="J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6" t="n">
        <v>0</v>
      </c>
      <c r="G133" s="65" t="inlineStr">
        <is>
          <t>XXX</t>
        </is>
      </c>
      <c r="H133" s="39" t="n"/>
      <c r="I133" s="40" t="n"/>
      <c r="J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6" t="n">
        <v>0</v>
      </c>
      <c r="G134" s="65" t="inlineStr">
        <is>
          <t>XXX</t>
        </is>
      </c>
      <c r="H134" s="39" t="n"/>
      <c r="I134" s="40" t="n"/>
      <c r="J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6" t="n">
        <v>0</v>
      </c>
      <c r="G135" s="65" t="inlineStr">
        <is>
          <t>XXX</t>
        </is>
      </c>
      <c r="H135" s="39" t="n"/>
      <c r="I135" s="40" t="n"/>
      <c r="J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6" t="n">
        <v>0</v>
      </c>
      <c r="G136" s="65" t="inlineStr">
        <is>
          <t>XXX</t>
        </is>
      </c>
      <c r="H136" s="39" t="n"/>
      <c r="I136" s="40" t="n"/>
      <c r="J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6" t="n">
        <v>0</v>
      </c>
      <c r="G137" s="65" t="inlineStr">
        <is>
          <t>XXX</t>
        </is>
      </c>
      <c r="H137" s="39" t="n"/>
      <c r="I137" s="40" t="n"/>
      <c r="J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6" t="n">
        <v>0</v>
      </c>
      <c r="G138" s="65" t="inlineStr">
        <is>
          <t>XXX</t>
        </is>
      </c>
      <c r="H138" s="39" t="n"/>
      <c r="I138" s="40" t="n"/>
      <c r="J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6" t="n">
        <v>0</v>
      </c>
      <c r="G139" s="65" t="inlineStr">
        <is>
          <t>XXX</t>
        </is>
      </c>
      <c r="H139" s="39" t="n"/>
      <c r="I139" s="40" t="n"/>
      <c r="J139" s="33" t="n">
        <v>0</v>
      </c>
    </row>
    <row r="140" ht="8.25" customHeight="1">
      <c r="B140" s="14" t="n"/>
      <c r="C140" s="15" t="n"/>
      <c r="D140" s="16" t="n"/>
      <c r="E140" s="17" t="n"/>
      <c r="F140" s="17" t="n"/>
      <c r="G140" s="82" t="n"/>
      <c r="H140" s="16" t="n"/>
      <c r="I140" s="17" t="n"/>
      <c r="J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83" t="n"/>
      <c r="H141" s="19" t="n"/>
      <c r="I141" s="20" t="n"/>
      <c r="J141" s="20">
        <f>+SUM(J130:J140)</f>
        <v/>
      </c>
    </row>
    <row r="142" ht="6.75" customHeight="1" thickBot="1">
      <c r="B142" s="7" t="n"/>
      <c r="C142" s="8" t="n"/>
      <c r="D142" s="7" t="n"/>
      <c r="E142" s="7" t="n"/>
      <c r="F142" s="7" t="n"/>
      <c r="G142" s="67" t="n"/>
      <c r="H142" s="7" t="n"/>
      <c r="I142" s="7" t="n"/>
      <c r="J142" s="7" t="n"/>
    </row>
  </sheetData>
  <mergeCells count="4">
    <mergeCell ref="C22:F22"/>
    <mergeCell ref="C4:F4"/>
    <mergeCell ref="G4:J4"/>
    <mergeCell ref="G22:J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2026-08-18T10:44:32Z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