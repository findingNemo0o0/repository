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  <numFmt numFmtId="168" formatCode="0.00&quot;qm&quot;"/>
    <numFmt numFmtId="169" formatCode="0.0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indexed="64"/>
      </patternFill>
    </fill>
    <fill>
      <patternFill patternType="lightGray">
        <bgColor theme="0" tint="-0.0499893185216834"/>
      </patternFill>
    </fill>
    <fill>
      <patternFill patternType="lightGray">
        <bgColor theme="3" tint="0.8999908444471572"/>
      </patternFill>
    </fill>
    <fill>
      <patternFill patternType="lightGray"/>
    </fill>
    <fill>
      <patternFill patternType="solid">
        <fgColor rgb="FFFFFF00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/>
      <bottom/>
      <diagonal/>
    </border>
    <border>
      <left/>
      <right/>
      <top style="thin">
        <color indexed="64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indexed="64"/>
      </right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/>
      <diagonal/>
    </border>
    <border>
      <left style="thin">
        <color indexed="64"/>
      </left>
      <right style="thin">
        <color indexed="64"/>
      </right>
      <top style="thin">
        <color theme="0" tint="-0.249946592608417"/>
      </top>
      <bottom/>
      <diagonal/>
    </border>
    <border>
      <left/>
      <right/>
      <top/>
      <bottom style="thin">
        <color theme="0" tint="-0.249946592608417"/>
      </bottom>
      <diagonal/>
    </border>
    <border>
      <left style="thin">
        <color indexed="64"/>
      </left>
      <right/>
      <top/>
      <bottom style="thin">
        <color theme="0" tint="-0.249946592608417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46592608417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46592608417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23"/>
  </cellStyleXfs>
  <cellXfs count="18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164" fontId="2" fillId="4" borderId="20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5" borderId="4" applyAlignment="1" pivotButton="0" quotePrefix="0" xfId="0">
      <alignment vertical="center"/>
    </xf>
    <xf numFmtId="14" fontId="2" fillId="5" borderId="7" applyAlignment="1" pivotButton="0" quotePrefix="0" xfId="0">
      <alignment horizontal="left" vertical="center"/>
    </xf>
    <xf numFmtId="0" fontId="2" fillId="5" borderId="10" applyAlignment="1" pivotButton="0" quotePrefix="0" xfId="0">
      <alignment vertical="center"/>
    </xf>
    <xf numFmtId="164" fontId="2" fillId="5" borderId="3" applyAlignment="1" pivotButton="0" quotePrefix="0" xfId="0">
      <alignment vertical="center"/>
    </xf>
    <xf numFmtId="165" fontId="2" fillId="0" borderId="7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168" fontId="2" fillId="4" borderId="1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0" fillId="7" borderId="4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1" fillId="8" borderId="1" applyAlignment="1" pivotButton="0" quotePrefix="0" xfId="0">
      <alignment horizontal="right" vertical="center"/>
    </xf>
    <xf numFmtId="164" fontId="2" fillId="7" borderId="2" applyAlignment="1" pivotButton="0" quotePrefix="0" xfId="0">
      <alignment vertical="center"/>
    </xf>
    <xf numFmtId="164" fontId="0" fillId="8" borderId="0" applyAlignment="1" pivotButton="0" quotePrefix="0" xfId="0">
      <alignment vertical="center"/>
    </xf>
    <xf numFmtId="164" fontId="2" fillId="7" borderId="3" applyAlignment="1" pivotButton="0" quotePrefix="0" xfId="0">
      <alignment vertical="center"/>
    </xf>
    <xf numFmtId="164" fontId="2" fillId="8" borderId="1" applyAlignment="1" pivotButton="0" quotePrefix="0" xfId="0">
      <alignment vertical="center"/>
    </xf>
    <xf numFmtId="164" fontId="0" fillId="8" borderId="1" applyAlignment="1" pivotButton="0" quotePrefix="0" xfId="0">
      <alignment vertical="center"/>
    </xf>
    <xf numFmtId="164" fontId="3" fillId="8" borderId="0" applyAlignment="1" pivotButton="0" quotePrefix="0" xfId="0">
      <alignment vertical="center"/>
    </xf>
    <xf numFmtId="164" fontId="1" fillId="8" borderId="0" applyAlignment="1" pivotButton="0" quotePrefix="0" xfId="0">
      <alignment vertical="center"/>
    </xf>
    <xf numFmtId="0" fontId="0" fillId="8" borderId="5" applyAlignment="1" pivotButton="0" quotePrefix="0" xfId="0">
      <alignment vertical="center"/>
    </xf>
    <xf numFmtId="164" fontId="2" fillId="4" borderId="7" applyAlignment="1" pivotButton="0" quotePrefix="0" xfId="0">
      <alignment vertical="center"/>
    </xf>
    <xf numFmtId="169" fontId="2" fillId="4" borderId="7" applyAlignment="1" pivotButton="0" quotePrefix="0" xfId="0">
      <alignment vertical="center"/>
    </xf>
    <xf numFmtId="164" fontId="7" fillId="4" borderId="7" applyAlignment="1" pivotButton="0" quotePrefix="0" xfId="0">
      <alignment vertical="center"/>
    </xf>
    <xf numFmtId="165" fontId="2" fillId="9" borderId="9" applyAlignment="1" pivotButton="0" quotePrefix="0" xfId="0">
      <alignment vertical="center"/>
    </xf>
    <xf numFmtId="164" fontId="2" fillId="9" borderId="2" applyAlignment="1" pivotButton="0" quotePrefix="0" xfId="0">
      <alignment vertical="center"/>
    </xf>
    <xf numFmtId="164" fontId="0" fillId="9" borderId="0" applyAlignment="1" pivotButton="0" quotePrefix="0" xfId="0">
      <alignment vertical="center"/>
    </xf>
    <xf numFmtId="0" fontId="8" fillId="3" borderId="1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4" fontId="2" fillId="4" borderId="7" applyAlignment="1" pivotButton="0" quotePrefix="0" xfId="0">
      <alignment vertical="center"/>
    </xf>
    <xf numFmtId="169" fontId="7" fillId="4" borderId="7" applyAlignment="1" pivotButton="0" quotePrefix="0" xfId="0">
      <alignment vertical="center"/>
    </xf>
    <xf numFmtId="10" fontId="7" fillId="4" borderId="7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164" fontId="8" fillId="4" borderId="7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164" fontId="3" fillId="0" borderId="23" applyAlignment="1" pivotButton="0" quotePrefix="0" xfId="0">
      <alignment vertical="center"/>
    </xf>
    <xf numFmtId="164" fontId="7" fillId="4" borderId="4" applyAlignment="1" pivotButton="0" quotePrefix="0" xfId="0">
      <alignment vertical="center"/>
    </xf>
    <xf numFmtId="0" fontId="2" fillId="4" borderId="24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23" applyAlignment="1" pivotButton="0" quotePrefix="0" xfId="0">
      <alignment vertical="center"/>
    </xf>
    <xf numFmtId="165" fontId="3" fillId="0" borderId="12" applyAlignment="1" pivotButton="0" quotePrefix="0" xfId="0">
      <alignment vertical="center"/>
    </xf>
    <xf numFmtId="0" fontId="1" fillId="2" borderId="23" applyAlignment="1" pivotButton="0" quotePrefix="0" xfId="0">
      <alignment vertical="center"/>
    </xf>
    <xf numFmtId="164" fontId="0" fillId="0" borderId="23" applyAlignment="1" pivotButton="0" quotePrefix="0" xfId="0">
      <alignment vertical="center"/>
    </xf>
    <xf numFmtId="164" fontId="1" fillId="0" borderId="23" applyAlignment="1" pivotButton="0" quotePrefix="0" xfId="0">
      <alignment vertical="center"/>
    </xf>
    <xf numFmtId="164" fontId="0" fillId="9" borderId="23" applyAlignment="1" pivotButton="0" quotePrefix="0" xfId="0">
      <alignment vertical="center"/>
    </xf>
    <xf numFmtId="14" fontId="2" fillId="4" borderId="4" applyAlignment="1" pivotButton="0" quotePrefix="0" xfId="0">
      <alignment horizontal="left" vertical="center"/>
    </xf>
    <xf numFmtId="0" fontId="2" fillId="4" borderId="4" applyAlignment="1" pivotButton="0" quotePrefix="0" xfId="0">
      <alignment vertical="center" wrapText="1"/>
    </xf>
    <xf numFmtId="167" fontId="2" fillId="4" borderId="4" applyAlignment="1" pivotButton="0" quotePrefix="0" xfId="0">
      <alignment horizontal="left" vertical="center"/>
    </xf>
    <xf numFmtId="0" fontId="2" fillId="4" borderId="4" applyAlignment="1" pivotButton="0" quotePrefix="0" xfId="0">
      <alignment horizontal="left" vertical="center"/>
    </xf>
    <xf numFmtId="165" fontId="2" fillId="4" borderId="4" applyAlignment="1" pivotButton="0" quotePrefix="0" xfId="0">
      <alignment horizontal="left" vertical="center"/>
    </xf>
    <xf numFmtId="165" fontId="2" fillId="4" borderId="15" applyAlignment="1" pivotButton="0" quotePrefix="0" xfId="0">
      <alignment vertical="center"/>
    </xf>
    <xf numFmtId="165" fontId="2" fillId="4" borderId="17" applyAlignment="1" pivotButton="0" quotePrefix="0" xfId="0">
      <alignment vertical="center"/>
    </xf>
    <xf numFmtId="0" fontId="2" fillId="4" borderId="17" applyAlignment="1" pivotButton="0" quotePrefix="0" xfId="0">
      <alignment vertical="center"/>
    </xf>
    <xf numFmtId="165" fontId="2" fillId="9" borderId="15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3" borderId="27" applyAlignment="1" pivotButton="0" quotePrefix="0" xfId="0">
      <alignment vertical="center"/>
    </xf>
    <xf numFmtId="0" fontId="0" fillId="4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1" fillId="0" borderId="27" applyAlignment="1" pivotButton="0" quotePrefix="0" xfId="0">
      <alignment vertical="center"/>
    </xf>
    <xf numFmtId="0" fontId="1" fillId="2" borderId="26" applyAlignment="1" pivotButton="0" quotePrefix="0" xfId="0">
      <alignment vertical="center"/>
    </xf>
    <xf numFmtId="0" fontId="1" fillId="0" borderId="27" applyAlignment="1" pivotButton="0" quotePrefix="0" xfId="0">
      <alignment horizontal="right" vertical="center"/>
    </xf>
    <xf numFmtId="164" fontId="0" fillId="0" borderId="26" applyAlignment="1" pivotButton="0" quotePrefix="0" xfId="0">
      <alignment vertical="center"/>
    </xf>
    <xf numFmtId="164" fontId="0" fillId="0" borderId="27" applyAlignment="1" pivotButton="0" quotePrefix="0" xfId="0">
      <alignment vertical="center"/>
    </xf>
    <xf numFmtId="164" fontId="1" fillId="0" borderId="26" applyAlignment="1" pivotButton="0" quotePrefix="0" xfId="0">
      <alignment vertical="center"/>
    </xf>
    <xf numFmtId="0" fontId="1" fillId="6" borderId="26" applyAlignment="1" pivotButton="0" quotePrefix="0" xfId="0">
      <alignment vertical="center"/>
    </xf>
    <xf numFmtId="0" fontId="0" fillId="7" borderId="28" applyAlignment="1" pivotButton="0" quotePrefix="0" xfId="0">
      <alignment vertical="center"/>
    </xf>
    <xf numFmtId="0" fontId="0" fillId="8" borderId="26" applyAlignment="1" pivotButton="0" quotePrefix="0" xfId="0">
      <alignment vertical="center"/>
    </xf>
    <xf numFmtId="0" fontId="1" fillId="8" borderId="27" applyAlignment="1" pivotButton="0" quotePrefix="0" xfId="0">
      <alignment horizontal="right" vertical="center"/>
    </xf>
    <xf numFmtId="164" fontId="0" fillId="8" borderId="26" applyAlignment="1" pivotButton="0" quotePrefix="0" xfId="0">
      <alignment vertical="center"/>
    </xf>
    <xf numFmtId="164" fontId="0" fillId="8" borderId="27" applyAlignment="1" pivotButton="0" quotePrefix="0" xfId="0">
      <alignment vertical="center"/>
    </xf>
    <xf numFmtId="164" fontId="1" fillId="8" borderId="26" applyAlignment="1" pivotButton="0" quotePrefix="0" xfId="0">
      <alignment vertical="center"/>
    </xf>
    <xf numFmtId="0" fontId="0" fillId="8" borderId="29" applyAlignment="1" pivotButton="0" quotePrefix="0" xfId="0">
      <alignment vertical="center"/>
    </xf>
    <xf numFmtId="164" fontId="0" fillId="9" borderId="26" applyAlignment="1" pivotButton="0" quotePrefix="0" xfId="0">
      <alignment vertical="center"/>
    </xf>
    <xf numFmtId="164" fontId="7" fillId="4" borderId="30" applyAlignment="1" pivotButton="0" quotePrefix="0" xfId="0">
      <alignment vertical="center"/>
    </xf>
    <xf numFmtId="0" fontId="0" fillId="0" borderId="12" pivotButton="0" quotePrefix="0" xfId="0"/>
    <xf numFmtId="0" fontId="0" fillId="3" borderId="11" applyAlignment="1" pivotButton="0" quotePrefix="0" xfId="0">
      <alignment vertical="center"/>
    </xf>
    <xf numFmtId="0" fontId="2" fillId="5" borderId="7" applyAlignment="1" pivotButton="0" quotePrefix="0" xfId="0">
      <alignment vertical="center"/>
    </xf>
    <xf numFmtId="0" fontId="2" fillId="4" borderId="7" applyAlignment="1" pivotButton="0" quotePrefix="0" xfId="0">
      <alignment vertical="center" wrapText="1"/>
    </xf>
    <xf numFmtId="0" fontId="1" fillId="0" borderId="11" applyAlignment="1" pivotButton="0" quotePrefix="0" xfId="0">
      <alignment vertical="center"/>
    </xf>
    <xf numFmtId="0" fontId="1" fillId="2" borderId="12" applyAlignment="1" pivotButton="0" quotePrefix="0" xfId="0">
      <alignment vertical="center"/>
    </xf>
    <xf numFmtId="0" fontId="1" fillId="0" borderId="11" applyAlignment="1" pivotButton="0" quotePrefix="0" xfId="0">
      <alignment horizontal="right" vertical="center"/>
    </xf>
    <xf numFmtId="0" fontId="1" fillId="6" borderId="12" applyAlignment="1" pivotButton="0" quotePrefix="0" xfId="0">
      <alignment vertical="center"/>
    </xf>
    <xf numFmtId="0" fontId="2" fillId="7" borderId="7" applyAlignment="1" pivotButton="0" quotePrefix="0" xfId="0">
      <alignment horizontal="left" vertical="center"/>
    </xf>
    <xf numFmtId="165" fontId="2" fillId="7" borderId="7" applyAlignment="1" pivotButton="0" quotePrefix="0" xfId="0">
      <alignment horizontal="left" vertical="center"/>
    </xf>
    <xf numFmtId="14" fontId="2" fillId="7" borderId="7" applyAlignment="1" pivotButton="0" quotePrefix="0" xfId="0">
      <alignment horizontal="left" vertical="center"/>
    </xf>
    <xf numFmtId="0" fontId="0" fillId="8" borderId="12" pivotButton="0" quotePrefix="0" xfId="0"/>
    <xf numFmtId="0" fontId="1" fillId="8" borderId="11" applyAlignment="1" pivotButton="0" quotePrefix="0" xfId="0">
      <alignment horizontal="right" vertical="center"/>
    </xf>
    <xf numFmtId="165" fontId="2" fillId="7" borderId="9" applyAlignment="1" pivotButton="0" quotePrefix="0" xfId="0">
      <alignment vertical="center"/>
    </xf>
    <xf numFmtId="165" fontId="2" fillId="7" borderId="10" applyAlignment="1" pivotButton="0" quotePrefix="0" xfId="0">
      <alignment vertical="center"/>
    </xf>
    <xf numFmtId="0" fontId="2" fillId="7" borderId="10" applyAlignment="1" pivotButton="0" quotePrefix="0" xfId="0">
      <alignment vertical="center"/>
    </xf>
    <xf numFmtId="0" fontId="2" fillId="8" borderId="11" applyAlignment="1" pivotButton="0" quotePrefix="0" xfId="0">
      <alignment vertical="center"/>
    </xf>
    <xf numFmtId="0" fontId="3" fillId="8" borderId="12" applyAlignment="1" pivotButton="0" quotePrefix="0" xfId="0">
      <alignment vertical="center"/>
    </xf>
    <xf numFmtId="0" fontId="0" fillId="8" borderId="8" applyAlignment="1" pivotButton="0" quotePrefix="0" xfId="0">
      <alignment vertical="center"/>
    </xf>
    <xf numFmtId="0" fontId="0" fillId="0" borderId="23" pivotButton="0" quotePrefix="0" xfId="0"/>
    <xf numFmtId="0" fontId="1" fillId="2" borderId="23" applyAlignment="1" pivotButton="0" quotePrefix="0" xfId="0">
      <alignment horizontal="left" vertical="center"/>
    </xf>
    <xf numFmtId="0" fontId="1" fillId="2" borderId="23" applyAlignment="1" pivotButton="0" quotePrefix="0" xfId="0">
      <alignment horizontal="right" vertical="center"/>
    </xf>
    <xf numFmtId="0" fontId="2" fillId="4" borderId="23" applyAlignment="1" pivotButton="0" quotePrefix="0" xfId="0">
      <alignment vertical="center"/>
    </xf>
    <xf numFmtId="164" fontId="2" fillId="4" borderId="23" applyAlignment="1" pivotButton="0" quotePrefix="0" xfId="0">
      <alignment vertical="center"/>
    </xf>
    <xf numFmtId="0" fontId="2" fillId="0" borderId="23" applyAlignment="1" pivotButton="0" quotePrefix="0" xfId="0">
      <alignment vertical="center"/>
    </xf>
    <xf numFmtId="164" fontId="2" fillId="0" borderId="23" applyAlignment="1" pivotButton="0" quotePrefix="0" xfId="0">
      <alignment vertical="center"/>
    </xf>
    <xf numFmtId="10" fontId="8" fillId="4" borderId="31" applyAlignment="1" pivotButton="0" quotePrefix="0" xfId="0">
      <alignment vertical="center"/>
    </xf>
    <xf numFmtId="164" fontId="8" fillId="4" borderId="25" applyAlignment="1" pivotButton="0" quotePrefix="0" xfId="0">
      <alignment vertical="center"/>
    </xf>
    <xf numFmtId="164" fontId="8" fillId="4" borderId="31" applyAlignment="1" pivotButton="0" quotePrefix="0" xfId="0">
      <alignment vertical="center"/>
    </xf>
    <xf numFmtId="164" fontId="8" fillId="4" borderId="32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7" fillId="4" borderId="31" applyAlignment="1" pivotButton="0" quotePrefix="0" xfId="0">
      <alignment vertical="center"/>
    </xf>
    <xf numFmtId="0" fontId="7" fillId="0" borderId="33" applyAlignment="1" pivotButton="0" quotePrefix="0" xfId="0">
      <alignment vertical="center"/>
    </xf>
    <xf numFmtId="4" fontId="2" fillId="4" borderId="34" applyAlignment="1" pivotButton="0" quotePrefix="0" xfId="0">
      <alignment vertical="center"/>
    </xf>
    <xf numFmtId="164" fontId="2" fillId="4" borderId="34" applyAlignment="1" pivotButton="0" quotePrefix="0" xfId="0">
      <alignment vertical="center"/>
    </xf>
    <xf numFmtId="169" fontId="7" fillId="4" borderId="34" applyAlignment="1" pivotButton="0" quotePrefix="0" xfId="0">
      <alignment vertical="center"/>
    </xf>
    <xf numFmtId="10" fontId="7" fillId="4" borderId="34" applyAlignment="1" pivotButton="0" quotePrefix="0" xfId="0">
      <alignment vertical="center"/>
    </xf>
    <xf numFmtId="164" fontId="7" fillId="4" borderId="34" applyAlignment="1" pivotButton="0" quotePrefix="0" xfId="0">
      <alignment vertical="center"/>
    </xf>
    <xf numFmtId="164" fontId="7" fillId="4" borderId="33" applyAlignment="1" pivotButton="0" quotePrefix="0" xfId="0">
      <alignment vertical="center"/>
    </xf>
    <xf numFmtId="164" fontId="7" fillId="4" borderId="35" applyAlignment="1" pivotButton="0" quotePrefix="0" xfId="0">
      <alignment vertical="center"/>
    </xf>
    <xf numFmtId="0" fontId="8" fillId="0" borderId="23" applyAlignment="1" pivotButton="0" quotePrefix="0" xfId="0">
      <alignment horizontal="right" vertical="center"/>
    </xf>
    <xf numFmtId="0" fontId="8" fillId="0" borderId="23" applyAlignment="1" pivotButton="0" quotePrefix="0" xfId="0">
      <alignment horizontal="left" vertical="center"/>
    </xf>
    <xf numFmtId="0" fontId="1" fillId="2" borderId="6" applyAlignment="1" pivotButton="0" quotePrefix="0" xfId="0">
      <alignment vertical="center"/>
    </xf>
    <xf numFmtId="0" fontId="1" fillId="2" borderId="24" applyAlignment="1" pivotButton="0" quotePrefix="0" xfId="0">
      <alignment vertical="center"/>
    </xf>
    <xf numFmtId="0" fontId="1" fillId="2" borderId="36" applyAlignment="1" pivotButton="0" quotePrefix="0" xfId="0">
      <alignment vertical="center"/>
    </xf>
    <xf numFmtId="0" fontId="2" fillId="2" borderId="21" applyAlignment="1" pivotButton="0" quotePrefix="0" xfId="0">
      <alignment vertical="center"/>
    </xf>
    <xf numFmtId="0" fontId="0" fillId="0" borderId="18" pivotButton="0" quotePrefix="0" xfId="0"/>
    <xf numFmtId="0" fontId="0" fillId="0" borderId="19" pivotButton="0" quotePrefix="0" xfId="0"/>
    <xf numFmtId="0" fontId="2" fillId="2" borderId="13" applyAlignment="1" pivotButton="0" quotePrefix="0" xfId="0">
      <alignment horizontal="left" vertical="center"/>
    </xf>
    <xf numFmtId="0" fontId="2" fillId="4" borderId="22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4" borderId="7" applyAlignment="1" pivotButton="0" quotePrefix="0" xfId="0">
      <alignment horizontal="left" vertical="center" wrapText="1"/>
    </xf>
    <xf numFmtId="167" fontId="2" fillId="4" borderId="7" applyAlignment="1" pivotButton="0" quotePrefix="0" xfId="0">
      <alignment horizontal="left" vertical="center"/>
    </xf>
    <xf numFmtId="167" fontId="2" fillId="4" borderId="4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8" fontId="2" fillId="4" borderId="10" applyAlignment="1" pivotButton="0" quotePrefix="0" xfId="0">
      <alignment vertical="center"/>
    </xf>
    <xf numFmtId="169" fontId="2" fillId="4" borderId="7" applyAlignment="1" pivotButton="0" quotePrefix="0" xfId="0">
      <alignment vertical="center"/>
    </xf>
    <xf numFmtId="169" fontId="7" fillId="4" borderId="34" applyAlignment="1" pivotButton="0" quotePrefix="0" xfId="0">
      <alignment vertical="center"/>
    </xf>
    <xf numFmtId="169" fontId="7" fillId="4" borderId="7" applyAlignment="1" pivotButton="0" quotePrefix="0" xfId="0">
      <alignment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zoomScale="156" zoomScaleNormal="104" zoomScaleSheetLayoutView="124" workbookViewId="0">
      <pane xSplit="2" ySplit="6" topLeftCell="C28" activePane="bottomRight" state="frozen"/>
      <selection pane="topRight" activeCell="C1" sqref="C1"/>
      <selection pane="bottomLeft" activeCell="A7" sqref="A7"/>
      <selection pane="bottomRight" activeCell="E21" sqref="E21"/>
    </sheetView>
  </sheetViews>
  <sheetFormatPr baseColWidth="10" defaultColWidth="11.42578125" defaultRowHeight="15"/>
  <cols>
    <col width="3.85546875" customWidth="1" style="2" min="1" max="1"/>
    <col width="37.85546875" bestFit="1" customWidth="1" style="2" min="2" max="2"/>
    <col width="34.85546875" bestFit="1" customWidth="1" style="2" min="3" max="3"/>
    <col width="37.7109375" bestFit="1" customWidth="1" style="2" min="4" max="4"/>
    <col width="12.85546875" customWidth="1" min="5" max="5"/>
    <col width="12.85546875" customWidth="1" style="2" min="6" max="6"/>
    <col width="11.42578125" customWidth="1" style="2" min="7" max="13"/>
    <col width="11.42578125" customWidth="1" style="2" min="14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 xml:space="preserve">Würselen </t>
        </is>
      </c>
      <c r="D4" s="25" t="inlineStr">
        <is>
          <t>Baesweiler</t>
        </is>
      </c>
      <c r="E4" s="25" t="inlineStr">
        <is>
          <t>Würselen (neuer MV 08/2026)</t>
        </is>
      </c>
      <c r="F4" s="25" t="n"/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5" t="inlineStr">
        <is>
          <t>Beginen Kempe GbR</t>
        </is>
      </c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25" t="inlineStr">
        <is>
          <t>Beginen Kempe GbR</t>
        </is>
      </c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25" t="inlineStr">
        <is>
          <t>365° Häusliche Kranken- und Fachpflege Marianne Weiß GmbH</t>
        </is>
      </c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25" t="inlineStr">
        <is>
          <t>StädteRegion Aachen</t>
        </is>
      </c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5" t="inlineStr">
        <is>
          <t>Mauerfeldchen 27, 52146 Würselen</t>
        </is>
      </c>
      <c r="F11" s="26" t="n"/>
    </row>
    <row r="12">
      <c r="B12" s="6" t="inlineStr">
        <is>
          <t>Expansion oder Replacement?</t>
        </is>
      </c>
      <c r="C12" s="25" t="inlineStr">
        <is>
          <t>Expansion</t>
        </is>
      </c>
      <c r="D12" s="25" t="inlineStr">
        <is>
          <t>XXX</t>
        </is>
      </c>
      <c r="E12" s="25" t="inlineStr">
        <is>
          <t>XXX</t>
        </is>
      </c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25" t="inlineStr">
        <is>
          <t>Bestand</t>
        </is>
      </c>
      <c r="F13" s="26" t="n"/>
    </row>
    <row r="14">
      <c r="B14" s="6" t="inlineStr">
        <is>
          <t>Lage der Mietfläche (z.B. EG, 1. OG)</t>
        </is>
      </c>
      <c r="C14" s="25" t="inlineStr">
        <is>
          <t>1., 2., 3. und 4. OG; Keller</t>
        </is>
      </c>
      <c r="D14" s="25" t="inlineStr">
        <is>
          <t>XXX</t>
        </is>
      </c>
      <c r="E14" s="25" t="inlineStr">
        <is>
          <t>1., 2., 3. und 4. OG; Keller</t>
        </is>
      </c>
      <c r="F14" s="26" t="n"/>
    </row>
    <row r="15">
      <c r="B15" s="6" t="inlineStr">
        <is>
          <t>Kapazität (Anzahl Betten)</t>
        </is>
      </c>
      <c r="C15" s="27" t="n">
        <v>17</v>
      </c>
      <c r="D15" s="27" t="n">
        <v>18</v>
      </c>
      <c r="E15" s="27" t="inlineStr">
        <is>
          <t>XXX</t>
        </is>
      </c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5" t="inlineStr">
        <is>
          <t>Wohnheim mit Praxen</t>
        </is>
      </c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25" t="inlineStr">
        <is>
          <t>nur Nebenflächen</t>
        </is>
      </c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28" t="n">
        <v>1116.08</v>
      </c>
      <c r="F20" s="26" t="n"/>
    </row>
    <row r="21">
      <c r="B21" s="6" t="inlineStr">
        <is>
          <t>qm/Bett</t>
        </is>
      </c>
      <c r="C21" s="53">
        <f>+C20/C15</f>
        <v/>
      </c>
      <c r="D21" s="53">
        <f>+D20/D15</f>
        <v/>
      </c>
      <c r="E21" s="53">
        <f>+IFERROR(E20/E15,"")</f>
        <v/>
      </c>
      <c r="F21" s="6" t="n"/>
    </row>
    <row r="22">
      <c r="B22" s="6" t="inlineStr">
        <is>
          <t>Nettokaltmiete/qm</t>
        </is>
      </c>
      <c r="C22" s="41" t="n">
        <v>12.5</v>
      </c>
      <c r="D22" s="41">
        <f>+D23/D20</f>
        <v/>
      </c>
      <c r="E22" s="41" t="n">
        <v>14.95</v>
      </c>
      <c r="F22" s="26" t="n"/>
    </row>
    <row r="23">
      <c r="B23" s="6" t="inlineStr">
        <is>
          <t>Nettokaltmiete pro Monat</t>
        </is>
      </c>
      <c r="C23" s="42">
        <f>+C22*C20</f>
        <v/>
      </c>
      <c r="D23" s="42" t="n">
        <v>8500</v>
      </c>
      <c r="E23" s="42">
        <f>+E22*E20</f>
        <v/>
      </c>
      <c r="F23" s="6" t="n"/>
    </row>
    <row r="24">
      <c r="B24" s="6" t="inlineStr">
        <is>
          <t>Nettokaltmiete pro Jahr</t>
        </is>
      </c>
      <c r="C24" s="42">
        <f>+C23*12</f>
        <v/>
      </c>
      <c r="D24" s="42">
        <f>+D23*12</f>
        <v/>
      </c>
      <c r="E24" s="42">
        <f>+E23*12</f>
        <v/>
      </c>
      <c r="F24" s="6" t="n"/>
    </row>
    <row r="25">
      <c r="B25" s="6" t="inlineStr">
        <is>
          <t>Nebenkosten/qm</t>
        </is>
      </c>
      <c r="C25" s="41" t="n">
        <v>3.5</v>
      </c>
      <c r="D25" s="41">
        <f>+D26/D20</f>
        <v/>
      </c>
      <c r="E25" s="41">
        <f>+E26/E20</f>
        <v/>
      </c>
      <c r="F25" s="26" t="n"/>
    </row>
    <row r="26">
      <c r="B26" s="6" t="inlineStr">
        <is>
          <t>Nebenkosten pro Monat</t>
        </is>
      </c>
      <c r="C26" s="42">
        <f>+C25*C20</f>
        <v/>
      </c>
      <c r="D26" s="42" t="n">
        <v>4700</v>
      </c>
      <c r="E26" s="42" t="n">
        <v>5065</v>
      </c>
      <c r="F26" s="6" t="n"/>
    </row>
    <row r="27">
      <c r="B27" s="6" t="inlineStr">
        <is>
          <t>Nebenkosten pro Jahr</t>
        </is>
      </c>
      <c r="C27" s="42">
        <f>+C26*12</f>
        <v/>
      </c>
      <c r="D27" s="42">
        <f>+D26*12</f>
        <v/>
      </c>
      <c r="E27" s="42">
        <f>+E26*12</f>
        <v/>
      </c>
      <c r="F27" s="6" t="n"/>
    </row>
    <row r="28">
      <c r="B28" s="6" t="inlineStr">
        <is>
          <t>Anzahl Stellplätze</t>
        </is>
      </c>
      <c r="C28" s="27" t="n">
        <v>14</v>
      </c>
      <c r="D28" s="27" t="n">
        <v>0</v>
      </c>
      <c r="E28" s="27" t="n">
        <v>14</v>
      </c>
      <c r="F28" s="26" t="n"/>
    </row>
    <row r="29">
      <c r="B29" s="6" t="inlineStr">
        <is>
          <t>Preis pro Stellplatz</t>
        </is>
      </c>
      <c r="C29" s="41" t="n">
        <v>47.14285714285715</v>
      </c>
      <c r="D29" s="41" t="n">
        <v>0</v>
      </c>
      <c r="E29" s="41" t="n">
        <v>47.14285714285715</v>
      </c>
      <c r="F29" s="26" t="n"/>
    </row>
    <row r="30">
      <c r="B30" s="6" t="inlineStr">
        <is>
          <t>Kosten Stellplätze pro Monat</t>
        </is>
      </c>
      <c r="C30" s="42">
        <f>+C28*C29</f>
        <v/>
      </c>
      <c r="D30" s="42">
        <f>+D28*D29</f>
        <v/>
      </c>
      <c r="E30" s="42">
        <f>+E28*E29</f>
        <v/>
      </c>
      <c r="F30" s="6" t="n"/>
    </row>
    <row r="31">
      <c r="B31" s="6" t="inlineStr">
        <is>
          <t>Kosten Stellplätze pro Jahr</t>
        </is>
      </c>
      <c r="C31" s="42">
        <f>+C30*12</f>
        <v/>
      </c>
      <c r="D31" s="42">
        <f>+D30*12</f>
        <v/>
      </c>
      <c r="E31" s="42">
        <f>+E30*12</f>
        <v/>
      </c>
      <c r="F31" s="6" t="n"/>
    </row>
    <row r="32">
      <c r="B32" s="6" t="inlineStr">
        <is>
          <t>Weitere Kosten (Terasse, Verwaltung etc.)</t>
        </is>
      </c>
      <c r="C32" s="25" t="inlineStr">
        <is>
          <t>Keller 443 €/Mon.</t>
        </is>
      </c>
      <c r="D32" s="25" t="inlineStr">
        <is>
          <t>Strom separat; Inventar gestellt</t>
        </is>
      </c>
      <c r="E32" s="25" t="inlineStr">
        <is>
          <t>Keller 443 €/Mon.</t>
        </is>
      </c>
      <c r="F32" s="26" t="n"/>
    </row>
    <row r="33">
      <c r="B33" s="6" t="inlineStr">
        <is>
          <t>Baukostenzuschuss in €</t>
        </is>
      </c>
      <c r="C33" s="41" t="inlineStr">
        <is>
          <t>Statik 1. OG 600 €/Mon.</t>
        </is>
      </c>
      <c r="D33" s="41" t="n">
        <v>0</v>
      </c>
      <c r="E33" s="41" t="n">
        <v>0</v>
      </c>
      <c r="F33" s="26" t="n"/>
    </row>
    <row r="34">
      <c r="B34" s="6" t="inlineStr">
        <is>
          <t>Erläuterung Baukostenzuschuss</t>
        </is>
      </c>
      <c r="C34" s="25" t="inlineStr">
        <is>
          <t xml:space="preserve"> faktisch 600 €/Mon. für Statik = BKZ?</t>
        </is>
      </c>
      <c r="D34" s="25" t="inlineStr">
        <is>
          <t>kein BKZ; Inventar gestellt</t>
        </is>
      </c>
      <c r="E34" s="25" t="inlineStr">
        <is>
          <t>kein BKZ; Statik-Zuschlag entfällt</t>
        </is>
      </c>
      <c r="F34" s="26" t="n"/>
    </row>
    <row r="35">
      <c r="B35" s="6" t="inlineStr">
        <is>
          <t>Capex</t>
        </is>
      </c>
      <c r="C35" s="41" t="n">
        <v>0</v>
      </c>
      <c r="D35" s="41" t="n">
        <v>0</v>
      </c>
      <c r="E35" s="41" t="n">
        <v>0</v>
      </c>
      <c r="F35" s="26" t="n"/>
    </row>
    <row r="36">
      <c r="B36" s="6" t="n"/>
      <c r="C36" s="6" t="n"/>
      <c r="D36" s="6" t="n"/>
      <c r="E36" s="6" t="n"/>
      <c r="F36" s="6" t="n"/>
    </row>
    <row r="37">
      <c r="B37" s="4" t="inlineStr">
        <is>
          <t>Laufzeit etc.</t>
        </is>
      </c>
      <c r="C37" s="5" t="n"/>
      <c r="D37" s="5" t="n"/>
      <c r="E37" s="5" t="n"/>
      <c r="F37" s="5" t="n"/>
    </row>
    <row r="38">
      <c r="B38" s="6" t="inlineStr">
        <is>
          <t>Geplanter Mietbeginn</t>
        </is>
      </c>
      <c r="C38" s="29" t="n">
        <v>44301</v>
      </c>
      <c r="D38" s="29" t="inlineStr">
        <is>
          <t>XXX</t>
        </is>
      </c>
      <c r="E38" s="29" t="n">
        <v>46266</v>
      </c>
      <c r="F38" s="26" t="n"/>
    </row>
    <row r="39">
      <c r="B39" s="6" t="inlineStr">
        <is>
          <t>Festlaufzeit</t>
        </is>
      </c>
      <c r="C39" s="25" t="inlineStr">
        <is>
          <t>10 Jahre</t>
        </is>
      </c>
      <c r="D39" s="25" t="inlineStr">
        <is>
          <t>5 Jahre</t>
        </is>
      </c>
      <c r="E39" s="25" t="inlineStr">
        <is>
          <t>10 Jahre</t>
        </is>
      </c>
      <c r="F39" s="26" t="n"/>
    </row>
    <row r="40">
      <c r="B40" s="6" t="inlineStr">
        <is>
          <t>Verlängerungsoptionen</t>
        </is>
      </c>
      <c r="C40" s="25" t="inlineStr">
        <is>
          <t>2x 5 Jahre</t>
        </is>
      </c>
      <c r="D40" s="25" t="inlineStr">
        <is>
          <t>2x 5 Jahre</t>
        </is>
      </c>
      <c r="E40" s="25" t="inlineStr">
        <is>
          <t>2x 5 Jahre</t>
        </is>
      </c>
      <c r="F40" s="26" t="n"/>
    </row>
    <row r="41">
      <c r="B41" s="6" t="inlineStr">
        <is>
          <t>Wertsicherung (VPI/Staffelmiete etc.)</t>
        </is>
      </c>
      <c r="C41" s="25" t="inlineStr">
        <is>
          <t>volle Indexveränderung ab &gt;5%</t>
        </is>
      </c>
      <c r="D41" s="25" t="inlineStr">
        <is>
          <t>keine; Miete 10 Jahre fest</t>
        </is>
      </c>
      <c r="E41" s="25" t="inlineStr">
        <is>
          <t>volle Indexveränderung ohne Schwelle, alle 2 Jahre ab 2028</t>
        </is>
      </c>
      <c r="F41" s="26" t="n"/>
    </row>
    <row r="42">
      <c r="B42" s="6" t="inlineStr">
        <is>
          <t>Mietsicherheit</t>
        </is>
      </c>
      <c r="C42" s="25" t="inlineStr">
        <is>
          <t>Bankbürgschaft, 3 Bruttomonatsmieten</t>
        </is>
      </c>
      <c r="D42" s="25" t="inlineStr">
        <is>
          <t>Patronatserklärung, 1 Jahreskaltmiete</t>
        </is>
      </c>
      <c r="E42" s="25" t="inlineStr">
        <is>
          <t>Barkaution/Bankbürgschaft, 53.000 €</t>
        </is>
      </c>
      <c r="F42" s="26" t="n"/>
    </row>
    <row r="43" ht="6.75" customHeight="1" thickBot="1">
      <c r="B43" s="7" t="n"/>
      <c r="C43" s="8" t="n"/>
      <c r="D43" s="7" t="n"/>
      <c r="E43" s="7" t="n"/>
      <c r="F43" s="7" t="n"/>
    </row>
  </sheetData>
  <pageMargins left="0.5118110236220472" right="0.5118110236220472" top="0.7874015748031497" bottom="0.7874015748031497" header="0.3149606299212598" footer="0.3149606299212598"/>
  <pageSetup orientation="portrait" paperSize="9" scale="8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263"/>
  <sheetViews>
    <sheetView showGridLines="0" tabSelected="1" topLeftCell="A111" zoomScale="87" workbookViewId="0">
      <selection activeCell="K160" sqref="K160"/>
    </sheetView>
  </sheetViews>
  <sheetFormatPr baseColWidth="10" defaultColWidth="15.85546875" defaultRowHeight="15" outlineLevelRow="1"/>
  <cols>
    <col width="3.85546875" customWidth="1" style="2" min="1" max="1"/>
    <col width="44.28515625" customWidth="1" style="2" min="2" max="2"/>
    <col width="36.28515625" customWidth="1" style="2" min="3" max="3"/>
    <col width="12.85546875" customWidth="1" style="2" min="4" max="5"/>
    <col width="12.85546875" customWidth="1" style="81" min="6" max="6"/>
    <col width="35.42578125" customWidth="1" style="48" min="7" max="7"/>
    <col width="12.85546875" customWidth="1" style="2" min="8" max="8"/>
    <col width="13" customWidth="1" style="2" min="9" max="9"/>
    <col width="15.85546875" customWidth="1" style="101" min="10" max="10"/>
    <col width="58.42578125" customWidth="1" style="81" min="11" max="11"/>
    <col width="12.85546875" customWidth="1" style="2" min="12" max="12"/>
    <col width="13" customWidth="1" min="13" max="13"/>
    <col width="15.85546875" customWidth="1" style="101" min="14" max="14"/>
    <col width="15.85546875" customWidth="1" style="2" min="15" max="16384"/>
  </cols>
  <sheetData>
    <row r="2">
      <c r="B2" s="1" t="inlineStr">
        <is>
          <t>Übersicht Mietvertragskonditionen</t>
        </is>
      </c>
      <c r="G2" s="121" t="n"/>
    </row>
    <row r="3">
      <c r="G3" s="121" t="n"/>
    </row>
    <row r="4">
      <c r="B4" s="3" t="inlineStr">
        <is>
          <t>Standort:</t>
        </is>
      </c>
      <c r="C4" s="169" t="inlineStr">
        <is>
          <t>Würselen (Target)</t>
        </is>
      </c>
      <c r="D4" s="167" t="n"/>
      <c r="E4" s="167" t="n"/>
      <c r="F4" s="168" t="n"/>
      <c r="G4" s="166" t="inlineStr">
        <is>
          <t>Baesweiler (Bestand)</t>
        </is>
      </c>
      <c r="H4" s="167" t="n"/>
      <c r="I4" s="167" t="n"/>
      <c r="J4" s="168" t="n"/>
      <c r="K4" s="166" t="inlineStr">
        <is>
          <t>Würselen (neuer MV 08/2026)</t>
        </is>
      </c>
      <c r="L4" s="167" t="n"/>
      <c r="M4" s="167" t="n"/>
      <c r="N4" s="168" t="n"/>
    </row>
    <row r="5">
      <c r="G5" s="121" t="n"/>
    </row>
    <row r="6">
      <c r="B6" s="4" t="inlineStr">
        <is>
          <t>Eckdaten</t>
        </is>
      </c>
      <c r="C6" s="5" t="n"/>
      <c r="D6" s="5" t="n"/>
      <c r="E6" s="5" t="n"/>
      <c r="F6" s="5" t="n"/>
      <c r="G6" s="122" t="n"/>
      <c r="H6" s="5" t="n"/>
      <c r="I6" s="5" t="n"/>
      <c r="J6" s="102" t="n"/>
      <c r="K6" s="122" t="n"/>
      <c r="L6" s="5" t="n"/>
      <c r="M6" s="5" t="n"/>
      <c r="N6" s="102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25" t="inlineStr">
        <is>
          <t>Jans &amp; Willems GbR</t>
        </is>
      </c>
      <c r="H7" s="26" t="n"/>
      <c r="I7" s="26" t="n"/>
      <c r="J7" s="103" t="n"/>
      <c r="K7" s="35" t="inlineStr">
        <is>
          <t>Beginen Kempe GbR</t>
        </is>
      </c>
      <c r="L7" s="26" t="n"/>
      <c r="M7" s="26" t="n"/>
      <c r="N7" s="103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25" t="inlineStr">
        <is>
          <t>Jans &amp; Willems GbR</t>
        </is>
      </c>
      <c r="H8" s="26" t="n"/>
      <c r="I8" s="26" t="n"/>
      <c r="J8" s="103" t="n"/>
      <c r="K8" s="35" t="inlineStr">
        <is>
          <t>Beginen Kempe GbR</t>
        </is>
      </c>
      <c r="L8" s="26" t="n"/>
      <c r="M8" s="26" t="n"/>
      <c r="N8" s="103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25" t="inlineStr">
        <is>
          <t>365° Pflegezentrum Marianne Weiß GmbH</t>
        </is>
      </c>
      <c r="H9" s="26" t="n"/>
      <c r="I9" s="26" t="n"/>
      <c r="J9" s="103" t="n"/>
      <c r="K9" s="35" t="inlineStr">
        <is>
          <t>365° Häusliche Kranken- und Fachpflege Marianne Weiß GmbH</t>
        </is>
      </c>
      <c r="L9" s="26" t="n"/>
      <c r="M9" s="26" t="n"/>
      <c r="N9" s="103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25" t="inlineStr">
        <is>
          <t>Lessingstr. 3, 52499 Baesweiler</t>
        </is>
      </c>
      <c r="H10" s="26" t="n"/>
      <c r="I10" s="26" t="n"/>
      <c r="J10" s="103" t="n"/>
      <c r="K10" s="35" t="inlineStr">
        <is>
          <t>Mauerfeldchen 27, 52146 Würselen</t>
        </is>
      </c>
      <c r="L10" s="26" t="n"/>
      <c r="M10" s="26" t="n"/>
      <c r="N10" s="103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25" t="inlineStr">
        <is>
          <t>XXX</t>
        </is>
      </c>
      <c r="H11" s="26" t="n"/>
      <c r="I11" s="26" t="n"/>
      <c r="J11" s="103" t="n"/>
      <c r="K11" s="35" t="inlineStr">
        <is>
          <t>XXX</t>
        </is>
      </c>
      <c r="L11" s="26" t="n"/>
      <c r="M11" s="26" t="n"/>
      <c r="N11" s="103" t="n"/>
    </row>
    <row r="12">
      <c r="B12" s="6" t="inlineStr">
        <is>
          <t>Mietzweck</t>
        </is>
      </c>
      <c r="C12" s="25" t="inlineStr">
        <is>
          <t>Wohnheim mit Intensivpflege</t>
        </is>
      </c>
      <c r="D12" s="26" t="n"/>
      <c r="E12" s="26" t="n"/>
      <c r="F12" s="26" t="n"/>
      <c r="G12" s="25" t="inlineStr">
        <is>
          <t>Intensivpflege-WG</t>
        </is>
      </c>
      <c r="H12" s="26" t="n"/>
      <c r="I12" s="26" t="n"/>
      <c r="J12" s="103" t="n"/>
      <c r="K12" s="35" t="inlineStr">
        <is>
          <t>Wohnheim mit Praxen</t>
        </is>
      </c>
      <c r="L12" s="26" t="n"/>
      <c r="M12" s="26" t="n"/>
      <c r="N12" s="103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25" t="inlineStr">
        <is>
          <t>5 Jahre</t>
        </is>
      </c>
      <c r="H13" s="26" t="n"/>
      <c r="I13" s="26" t="n"/>
      <c r="J13" s="103" t="n"/>
      <c r="K13" s="35" t="inlineStr">
        <is>
          <t>10 Jahre</t>
        </is>
      </c>
      <c r="L13" s="26" t="n"/>
      <c r="M13" s="26" t="n"/>
      <c r="N13" s="103" t="n"/>
    </row>
    <row r="14">
      <c r="B14" s="6" t="inlineStr">
        <is>
          <t>Mietbeginn</t>
        </is>
      </c>
      <c r="C14" s="50" t="n">
        <v>44301</v>
      </c>
      <c r="D14" s="49" t="n"/>
      <c r="E14" s="49" t="n"/>
      <c r="F14" s="49" t="n"/>
      <c r="G14" s="123" t="inlineStr">
        <is>
          <t>XXX – Monatserster nach Vollzug Kaufvertrag</t>
        </is>
      </c>
      <c r="H14" s="26" t="n"/>
      <c r="I14" s="26" t="n"/>
      <c r="J14" s="103" t="n"/>
      <c r="K14" s="92" t="n">
        <v>46266</v>
      </c>
      <c r="L14" s="26" t="n"/>
      <c r="M14" s="26" t="n"/>
      <c r="N14" s="103" t="n"/>
    </row>
    <row r="15">
      <c r="B15" s="6" t="inlineStr">
        <is>
          <t>Mietende Festlaufzeit</t>
        </is>
      </c>
      <c r="C15" s="50" t="n">
        <v>47968</v>
      </c>
      <c r="D15" s="49" t="n"/>
      <c r="E15" s="49" t="n"/>
      <c r="F15" s="49" t="n"/>
      <c r="G15" s="123" t="inlineStr">
        <is>
          <t>XXX – 5 Jahre ab Mietbeginn kündbar (unbefristet)</t>
        </is>
      </c>
      <c r="H15" s="26" t="n"/>
      <c r="I15" s="26" t="n"/>
      <c r="J15" s="103" t="n"/>
      <c r="K15" s="92" t="n">
        <v>49918</v>
      </c>
      <c r="L15" s="26" t="n"/>
      <c r="M15" s="26" t="n"/>
      <c r="N15" s="103" t="n"/>
    </row>
    <row r="16" ht="30" customHeight="1">
      <c r="B16" s="6" t="inlineStr">
        <is>
          <t>Verlängerungsoptionen</t>
        </is>
      </c>
      <c r="C16" s="25" t="inlineStr">
        <is>
          <t>2x 5 Jahre; 
automatische Verlängerung falls 12 Monate vor Ende keine Kündigung erfolgt</t>
        </is>
      </c>
      <c r="D16" s="26" t="n"/>
      <c r="E16" s="26" t="n"/>
      <c r="F16" s="26" t="n"/>
      <c r="G16" s="124" t="inlineStr">
        <is>
          <t>2x 5 Jahre; 
nur auf aktive Ausübung</t>
        </is>
      </c>
      <c r="H16" s="26" t="n"/>
      <c r="I16" s="26" t="n"/>
      <c r="J16" s="103" t="n"/>
      <c r="K16" s="93" t="inlineStr">
        <is>
          <t>2x 5 Jahre; 
automatisch, falls 12 Monate vor Ende keine Kündigung vorliegt.</t>
        </is>
      </c>
      <c r="L16" s="26" t="n"/>
      <c r="M16" s="26" t="n"/>
      <c r="N16" s="103" t="n"/>
    </row>
    <row r="17">
      <c r="B17" s="6" t="inlineStr">
        <is>
          <t>Mietbeginn</t>
        </is>
      </c>
      <c r="C17" s="25" t="inlineStr">
        <is>
          <t>bei Übergabe</t>
        </is>
      </c>
      <c r="D17" s="26" t="n"/>
      <c r="E17" s="26" t="n"/>
      <c r="F17" s="26" t="n"/>
      <c r="G17" s="25" t="inlineStr">
        <is>
          <t>Monatserster nach Vollzug des Kaufvertrags</t>
        </is>
      </c>
      <c r="H17" s="26" t="n"/>
      <c r="I17" s="26" t="n"/>
      <c r="J17" s="103" t="n"/>
      <c r="K17" s="35" t="inlineStr">
        <is>
          <t>bei Übergabe</t>
        </is>
      </c>
      <c r="L17" s="26" t="n"/>
      <c r="M17" s="26" t="n"/>
      <c r="N17" s="103" t="n"/>
    </row>
    <row r="18">
      <c r="B18" s="6" t="inlineStr">
        <is>
          <t>Übergabezeitpunkt</t>
        </is>
      </c>
      <c r="C18" s="29" t="inlineStr">
        <is>
          <t>Schadensersatz bei zu später Übergabe (200 €/Tag, max. 3 Nettomonatsmieten).</t>
        </is>
      </c>
      <c r="D18" s="26" t="n"/>
      <c r="E18" s="26" t="n"/>
      <c r="F18" s="26" t="n"/>
      <c r="G18" s="25" t="inlineStr">
        <is>
          <t>Anspruch nach Sicherheitsleistung; keine Vertragsstrafe</t>
        </is>
      </c>
      <c r="H18" s="26" t="n"/>
      <c r="I18" s="26" t="n"/>
      <c r="J18" s="103" t="n"/>
      <c r="K18" s="35" t="inlineStr">
        <is>
          <t>keine Vertragsstrafe; Übernahme wie besehen</t>
        </is>
      </c>
      <c r="L18" s="26" t="n"/>
      <c r="M18" s="26" t="n"/>
      <c r="N18" s="103" t="n"/>
    </row>
    <row r="19" ht="30" customHeight="1">
      <c r="B19" s="6" t="inlineStr">
        <is>
          <t>Aufschiebende Bedingung / Rücktrittsrecht</t>
        </is>
      </c>
      <c r="C19" s="172" t="inlineStr">
        <is>
          <t>außerordentliche Kündigung bei &gt;3 Monate Verzug; Ersatzmieter möglich</t>
        </is>
      </c>
      <c r="D19" s="26" t="n"/>
      <c r="E19" s="26" t="n"/>
      <c r="F19" s="26" t="n"/>
      <c r="G19" s="25" t="inlineStr">
        <is>
          <t>kein Rücktrittsrecht</t>
        </is>
      </c>
      <c r="H19" s="26" t="n"/>
      <c r="I19" s="26" t="n"/>
      <c r="J19" s="103" t="n"/>
      <c r="K19" s="35" t="inlineStr">
        <is>
          <t>Übernahmevereinbarung mit Insolvenzverwalter AirHome; Ersatzmieter möglich</t>
        </is>
      </c>
      <c r="L19" s="26" t="n"/>
      <c r="M19" s="26" t="n"/>
      <c r="N19" s="103" t="n"/>
    </row>
    <row r="20">
      <c r="B20" s="6" t="inlineStr">
        <is>
          <t>Mietfreie Zeit</t>
        </is>
      </c>
      <c r="C20" s="25" t="inlineStr">
        <is>
          <t>keine</t>
        </is>
      </c>
      <c r="D20" s="26" t="n"/>
      <c r="E20" s="26" t="n"/>
      <c r="F20" s="26" t="n"/>
      <c r="G20" s="25" t="inlineStr">
        <is>
          <t>keine</t>
        </is>
      </c>
      <c r="H20" s="26" t="n"/>
      <c r="I20" s="26" t="n"/>
      <c r="J20" s="103" t="n"/>
      <c r="K20" s="35" t="inlineStr">
        <is>
          <t>keine</t>
        </is>
      </c>
      <c r="L20" s="26" t="n"/>
      <c r="M20" s="26" t="n"/>
      <c r="N20" s="103" t="n"/>
    </row>
    <row r="21">
      <c r="B21" s="6" t="inlineStr">
        <is>
          <t>Wertsicherung (VPI)</t>
        </is>
      </c>
      <c r="C21" s="25" t="inlineStr">
        <is>
          <t xml:space="preserve">Anpassung um 100% der Indexveränderung, wenn Indexveränderung &gt;5% </t>
        </is>
      </c>
      <c r="D21" s="26" t="n"/>
      <c r="E21" s="26" t="n"/>
      <c r="F21" s="26" t="n"/>
      <c r="G21" s="25" t="inlineStr">
        <is>
          <t>für die ersten 10 Mietjahre keine. Danach offen</t>
        </is>
      </c>
      <c r="H21" s="26" t="n"/>
      <c r="I21" s="26" t="n"/>
      <c r="J21" s="103" t="n"/>
      <c r="K21" s="35" t="inlineStr">
        <is>
          <t>Anpassung um 100% der Indexveränderung; erstmals 01.01.2028, danach alle 2 Jahre</t>
        </is>
      </c>
      <c r="L21" s="26" t="n"/>
      <c r="M21" s="26" t="n"/>
      <c r="N21" s="103" t="n"/>
    </row>
    <row r="22">
      <c r="B22" s="6" t="inlineStr">
        <is>
          <t>Rückbauverpflichtung Mieter</t>
        </is>
      </c>
      <c r="C22" s="25" t="inlineStr">
        <is>
          <t>Ja</t>
        </is>
      </c>
      <c r="D22" s="26" t="n"/>
      <c r="E22" s="26" t="n"/>
      <c r="F22" s="26" t="n"/>
      <c r="G22" s="25" t="inlineStr">
        <is>
          <t>keine</t>
        </is>
      </c>
      <c r="H22" s="26" t="n"/>
      <c r="I22" s="26" t="n"/>
      <c r="J22" s="103" t="n"/>
      <c r="K22" s="35" t="inlineStr">
        <is>
          <t>Ja</t>
        </is>
      </c>
      <c r="L22" s="26" t="n"/>
      <c r="M22" s="26" t="n"/>
      <c r="N22" s="103" t="n"/>
    </row>
    <row r="23">
      <c r="B23" s="6" t="inlineStr">
        <is>
          <t>Untervermietung</t>
        </is>
      </c>
      <c r="C23" s="25" t="inlineStr">
        <is>
          <t>Ja, an Patienten</t>
        </is>
      </c>
      <c r="D23" s="26" t="n"/>
      <c r="E23" s="26" t="n"/>
      <c r="F23" s="26" t="n"/>
      <c r="G23" s="25" t="inlineStr">
        <is>
          <t>Ja; zustimmungsfrei an Konzern und Bewohner</t>
        </is>
      </c>
      <c r="H23" s="26" t="n"/>
      <c r="I23" s="26" t="n"/>
      <c r="J23" s="103" t="n"/>
      <c r="K23" s="35" t="inlineStr">
        <is>
          <t>nein</t>
        </is>
      </c>
      <c r="L23" s="26" t="n"/>
      <c r="M23" s="26" t="n"/>
      <c r="N23" s="103" t="n"/>
    </row>
    <row r="24">
      <c r="B24" s="6" t="inlineStr">
        <is>
          <t>Mietsicherheit</t>
        </is>
      </c>
      <c r="C24" s="172" t="inlineStr">
        <is>
          <t>Bankbürgschaft: 3 Bruttomonatsmieten.</t>
        </is>
      </c>
      <c r="D24" s="171" t="n"/>
      <c r="E24" s="171" t="n"/>
      <c r="F24" s="171" t="n"/>
      <c r="G24" s="170" t="inlineStr">
        <is>
          <t>Patronatserklärung: 1 Jahreskaltmiete.</t>
        </is>
      </c>
      <c r="H24" s="171" t="n"/>
      <c r="I24" s="171" t="n"/>
      <c r="J24" s="171" t="n"/>
      <c r="K24" s="170" t="inlineStr">
        <is>
          <t>Barkaution oder Bankbürgschaft: 53.000 €</t>
        </is>
      </c>
      <c r="L24" s="171" t="n"/>
      <c r="M24" s="171" t="n"/>
      <c r="N24" s="171" t="n"/>
    </row>
    <row r="25">
      <c r="B25" s="6" t="inlineStr">
        <is>
          <t>Konkurrenzschutz</t>
        </is>
      </c>
      <c r="C25" s="25" t="inlineStr">
        <is>
          <t>ja</t>
        </is>
      </c>
      <c r="D25" s="26" t="n"/>
      <c r="E25" s="26" t="n"/>
      <c r="F25" s="26" t="n"/>
      <c r="G25" s="25" t="inlineStr">
        <is>
          <t>nicht geregelt</t>
        </is>
      </c>
      <c r="H25" s="26" t="n"/>
      <c r="I25" s="26" t="n"/>
      <c r="J25" s="103" t="n"/>
      <c r="K25" s="35" t="inlineStr">
        <is>
          <t>eingeschränkt</t>
        </is>
      </c>
      <c r="L25" s="26" t="n"/>
      <c r="M25" s="26" t="n"/>
      <c r="N25" s="103" t="n"/>
    </row>
    <row r="26">
      <c r="B26" s="6" t="inlineStr">
        <is>
          <t>Sonderkündigungsrecht</t>
        </is>
      </c>
      <c r="C26" s="25" t="inlineStr">
        <is>
          <t>keines</t>
        </is>
      </c>
      <c r="D26" s="26" t="n"/>
      <c r="E26" s="26" t="n"/>
      <c r="F26" s="26" t="n"/>
      <c r="G26" s="25" t="inlineStr">
        <is>
          <t>Ja, bei Nutzungsuntersagung</t>
        </is>
      </c>
      <c r="H26" s="26" t="n"/>
      <c r="I26" s="26" t="n"/>
      <c r="J26" s="103" t="n"/>
      <c r="K26" s="35" t="inlineStr">
        <is>
          <t>keines</t>
        </is>
      </c>
      <c r="L26" s="26" t="n"/>
      <c r="M26" s="26" t="n"/>
      <c r="N26" s="103" t="n"/>
    </row>
    <row r="27">
      <c r="B27" s="6" t="inlineStr">
        <is>
          <t>Instandhaltung/Instandsetzung</t>
        </is>
      </c>
      <c r="C27" s="25" t="inlineStr">
        <is>
          <t>Dach und Fach beim Vermieter; Fläche beim Mieter</t>
        </is>
      </c>
      <c r="D27" s="26" t="n"/>
      <c r="E27" s="26" t="n"/>
      <c r="F27" s="26" t="n"/>
      <c r="G27" s="25" t="inlineStr">
        <is>
          <t>Dach und Fach beim Vermieter; Fläche beim Mieter</t>
        </is>
      </c>
      <c r="H27" s="26" t="n"/>
      <c r="I27" s="26" t="n"/>
      <c r="J27" s="103" t="n"/>
      <c r="K27" s="35" t="inlineStr">
        <is>
          <t>Dach und Fach beim Vermieter; Fläche beim Mieter</t>
        </is>
      </c>
      <c r="L27" s="26" t="n"/>
      <c r="M27" s="26" t="n"/>
      <c r="N27" s="103" t="n"/>
    </row>
    <row r="28">
      <c r="B28" s="6" t="inlineStr">
        <is>
          <t>Besonderheiten / Sonstiges</t>
        </is>
      </c>
      <c r="C28" s="25" t="inlineStr">
        <is>
          <t>Nebenkosten zzgl. USt; Reinigung Treppenhaus/Aufzug 2x wöchentlich durch Mieter</t>
        </is>
      </c>
      <c r="D28" s="26" t="n"/>
      <c r="E28" s="26" t="n"/>
      <c r="F28" s="26" t="n"/>
      <c r="G28" s="25" t="inlineStr">
        <is>
          <t>Inventar vermieterseitig gestellt; Umstellung auf gewerbliche Wärmelieferung möglich</t>
        </is>
      </c>
      <c r="H28" s="26" t="n"/>
      <c r="I28" s="26" t="n"/>
      <c r="J28" s="103" t="n"/>
      <c r="K28" s="35" t="inlineStr">
        <is>
          <t>umsatzsteuerfrei; Nebenkosten zzgl. USt; kein Ausbau geschuldet; Reinigung Treppenhaus/Aufzug 2x wöchentlich</t>
        </is>
      </c>
      <c r="L28" s="26" t="n"/>
      <c r="M28" s="26" t="n"/>
      <c r="N28" s="103" t="n"/>
    </row>
    <row r="29" ht="6.75" customHeight="1" thickBot="1">
      <c r="B29" s="7" t="n"/>
      <c r="C29" s="8" t="n"/>
      <c r="D29" s="7" t="n"/>
      <c r="E29" s="7" t="n"/>
      <c r="F29" s="7" t="n"/>
      <c r="G29" s="8" t="n"/>
      <c r="H29" s="7" t="n"/>
      <c r="I29" s="7" t="n"/>
      <c r="J29" s="104" t="n"/>
      <c r="K29" s="8" t="n"/>
      <c r="L29" s="7" t="n"/>
      <c r="M29" s="7" t="n"/>
      <c r="N29" s="104" t="n"/>
    </row>
    <row r="30">
      <c r="G30" s="121" t="n"/>
      <c r="K30" s="121" t="n"/>
      <c r="M30" s="2" t="n"/>
    </row>
    <row r="31" hidden="1" outlineLevel="1">
      <c r="B31" s="9" t="inlineStr">
        <is>
          <t>Benchmarks (Neubau)</t>
        </is>
      </c>
      <c r="C31" s="9" t="n"/>
      <c r="D31" s="9" t="n"/>
      <c r="E31" s="9" t="n"/>
      <c r="F31" s="9" t="n"/>
      <c r="G31" s="125" t="n"/>
      <c r="H31" s="9" t="n"/>
      <c r="I31" s="9" t="n"/>
      <c r="J31" s="105" t="n"/>
      <c r="K31" s="9" t="n"/>
      <c r="L31" s="9" t="n"/>
      <c r="M31" s="9" t="n"/>
      <c r="N31" s="105" t="n"/>
    </row>
    <row r="32" hidden="1" outlineLevel="1">
      <c r="B32" s="6" t="inlineStr">
        <is>
          <t>Miete/m² (Neubau) - kein BKZ</t>
        </is>
      </c>
      <c r="C32" s="173" t="n">
        <v>20</v>
      </c>
      <c r="D32" s="26" t="n"/>
      <c r="E32" s="26" t="n"/>
      <c r="F32" s="26" t="n"/>
      <c r="G32" s="173" t="n">
        <v>20</v>
      </c>
      <c r="H32" s="26" t="n"/>
      <c r="I32" s="26" t="n"/>
      <c r="J32" s="103" t="n"/>
      <c r="K32" s="174" t="n">
        <v>20</v>
      </c>
      <c r="L32" s="26" t="n"/>
      <c r="M32" s="26" t="n"/>
      <c r="N32" s="103" t="n"/>
    </row>
    <row r="33" hidden="1" outlineLevel="1">
      <c r="B33" s="6" t="inlineStr">
        <is>
          <t>Miete/m² inkl. BKZ</t>
        </is>
      </c>
      <c r="C33" s="173" t="n">
        <v>20</v>
      </c>
      <c r="D33" s="26" t="n"/>
      <c r="E33" s="26" t="n"/>
      <c r="F33" s="26" t="n"/>
      <c r="G33" s="173" t="n">
        <v>20</v>
      </c>
      <c r="H33" s="26" t="n"/>
      <c r="I33" s="26" t="n"/>
      <c r="J33" s="103" t="n"/>
      <c r="K33" s="174" t="n">
        <v>20</v>
      </c>
      <c r="L33" s="26" t="n"/>
      <c r="M33" s="26" t="n"/>
      <c r="N33" s="103" t="n"/>
    </row>
    <row r="34" hidden="1" outlineLevel="1">
      <c r="B34" s="6" t="inlineStr">
        <is>
          <t>Nebenkosten/m²</t>
        </is>
      </c>
      <c r="C34" s="173" t="n">
        <v>3</v>
      </c>
      <c r="D34" s="26" t="n"/>
      <c r="E34" s="26" t="n"/>
      <c r="F34" s="26" t="n"/>
      <c r="G34" s="173" t="n">
        <v>3</v>
      </c>
      <c r="H34" s="26" t="n"/>
      <c r="I34" s="26" t="n"/>
      <c r="J34" s="103" t="n"/>
      <c r="K34" s="174" t="n">
        <v>3</v>
      </c>
      <c r="L34" s="26" t="n"/>
      <c r="M34" s="26" t="n"/>
      <c r="N34" s="103" t="n"/>
    </row>
    <row r="35" hidden="1" outlineLevel="1">
      <c r="B35" s="6" t="inlineStr">
        <is>
          <t>Fläche pro Bett</t>
        </is>
      </c>
      <c r="C35" s="175" t="inlineStr">
        <is>
          <t>50m²</t>
        </is>
      </c>
      <c r="D35" s="176" t="inlineStr">
        <is>
          <t xml:space="preserve"> (d.h. 6er WG: 300m²; 12er WG: 600m²)</t>
        </is>
      </c>
      <c r="E35" s="26" t="n"/>
      <c r="F35" s="26" t="n"/>
      <c r="G35" s="175" t="inlineStr">
        <is>
          <t>50m²</t>
        </is>
      </c>
      <c r="H35" s="176" t="inlineStr">
        <is>
          <t xml:space="preserve"> (d.h. 6er WG: 300m²; 12er WG: 600m²)</t>
        </is>
      </c>
      <c r="I35" s="26" t="n"/>
      <c r="J35" s="103" t="n"/>
      <c r="K35" s="176" t="inlineStr">
        <is>
          <t>50m²</t>
        </is>
      </c>
      <c r="L35" s="176" t="inlineStr">
        <is>
          <t xml:space="preserve"> (d.h. 6er WG: 300m²; 12er WG: 600m²)</t>
        </is>
      </c>
      <c r="M35" s="26" t="n"/>
      <c r="N35" s="103" t="n"/>
    </row>
    <row r="36" hidden="1" outlineLevel="1">
      <c r="B36" s="6" t="inlineStr">
        <is>
          <t>Miete pro Bett pro Monat (exkl. Baukostenzuschuss)</t>
        </is>
      </c>
      <c r="C36" s="175" t="n">
        <v>1000</v>
      </c>
      <c r="D36" s="26" t="n"/>
      <c r="E36" s="26" t="n"/>
      <c r="F36" s="26" t="n"/>
      <c r="G36" s="175" t="n">
        <v>1000</v>
      </c>
      <c r="H36" s="26" t="n"/>
      <c r="I36" s="26" t="n"/>
      <c r="J36" s="103" t="n"/>
      <c r="K36" s="176" t="n">
        <v>1000</v>
      </c>
      <c r="L36" s="26" t="n"/>
      <c r="M36" s="26" t="n"/>
      <c r="N36" s="103" t="n"/>
    </row>
    <row r="37" hidden="1" outlineLevel="1">
      <c r="B37" s="6" t="inlineStr">
        <is>
          <t>Miete pro Bett pro Monat (inkl. BKZ über 10 Jahre)</t>
        </is>
      </c>
      <c r="C37" s="175">
        <f>+C36</f>
        <v/>
      </c>
      <c r="D37" s="26" t="n"/>
      <c r="E37" s="26" t="n"/>
      <c r="F37" s="26" t="n"/>
      <c r="G37" s="175">
        <f>+G36</f>
        <v/>
      </c>
      <c r="H37" s="26" t="n"/>
      <c r="I37" s="26" t="n"/>
      <c r="J37" s="103" t="n"/>
      <c r="K37" s="176">
        <f>+K36</f>
        <v/>
      </c>
      <c r="L37" s="26" t="n"/>
      <c r="M37" s="26" t="n"/>
      <c r="N37" s="103" t="n"/>
    </row>
    <row r="38" hidden="1" outlineLevel="1">
      <c r="B38" s="6" t="inlineStr">
        <is>
          <t>Baukostenzuschuss pro Bett</t>
        </is>
      </c>
      <c r="C38" s="175" t="n">
        <v>0</v>
      </c>
      <c r="D38" s="176" t="n"/>
      <c r="E38" s="26" t="n"/>
      <c r="F38" s="26" t="n"/>
      <c r="G38" s="175" t="n">
        <v>0</v>
      </c>
      <c r="H38" s="176" t="n"/>
      <c r="I38" s="26" t="n"/>
      <c r="J38" s="103" t="n"/>
      <c r="K38" s="176" t="n">
        <v>0</v>
      </c>
      <c r="L38" s="176" t="n"/>
      <c r="M38" s="26" t="n"/>
      <c r="N38" s="103" t="n"/>
    </row>
    <row r="39" hidden="1" outlineLevel="1">
      <c r="B39" s="6" t="inlineStr">
        <is>
          <t>Capex pro Bett (Möbel, Ausstattung, etc.)</t>
        </is>
      </c>
      <c r="C39" s="175" t="n">
        <v>30000</v>
      </c>
      <c r="D39" s="26" t="n"/>
      <c r="E39" s="26" t="n"/>
      <c r="F39" s="26" t="n"/>
      <c r="G39" s="175" t="n">
        <v>30000</v>
      </c>
      <c r="H39" s="26" t="n"/>
      <c r="I39" s="26" t="n"/>
      <c r="J39" s="103" t="n"/>
      <c r="K39" s="176" t="n">
        <v>30000</v>
      </c>
      <c r="L39" s="26" t="n"/>
      <c r="M39" s="26" t="n"/>
      <c r="N39" s="103" t="n"/>
    </row>
    <row r="40" hidden="1" outlineLevel="1">
      <c r="B40" s="6" t="inlineStr">
        <is>
          <t>Baukosten pro qm (Neubau)</t>
        </is>
      </c>
      <c r="C40" s="25" t="inlineStr">
        <is>
          <t>TBD</t>
        </is>
      </c>
      <c r="D40" s="26" t="n"/>
      <c r="E40" s="26" t="n"/>
      <c r="F40" s="26" t="n"/>
      <c r="G40" s="25" t="inlineStr">
        <is>
          <t>TBD</t>
        </is>
      </c>
      <c r="H40" s="26" t="n"/>
      <c r="I40" s="26" t="n"/>
      <c r="J40" s="103" t="n"/>
      <c r="K40" s="35" t="inlineStr">
        <is>
          <t>TBD</t>
        </is>
      </c>
      <c r="L40" s="26" t="n"/>
      <c r="M40" s="26" t="n"/>
      <c r="N40" s="103" t="n"/>
    </row>
    <row r="41" hidden="1" outlineLevel="1">
      <c r="G41" s="121" t="n"/>
    </row>
    <row r="42" hidden="1" outlineLevel="1">
      <c r="B42" s="9" t="inlineStr">
        <is>
          <t>Benchmarks (Bestand)</t>
        </is>
      </c>
      <c r="C42" s="9" t="n"/>
      <c r="D42" s="9" t="n"/>
      <c r="E42" s="9" t="n"/>
      <c r="F42" s="9" t="n"/>
      <c r="G42" s="125" t="n"/>
      <c r="H42" s="9" t="n"/>
      <c r="I42" s="9" t="n"/>
      <c r="J42" s="105" t="n"/>
      <c r="K42" s="9" t="n"/>
      <c r="L42" s="9" t="n"/>
      <c r="M42" s="9" t="n"/>
      <c r="N42" s="105" t="n"/>
    </row>
    <row r="43" hidden="1" outlineLevel="1">
      <c r="B43" s="6" t="inlineStr">
        <is>
          <t>Miete/m² (Bestand) - kein BKZ</t>
        </is>
      </c>
      <c r="C43" s="173" t="n">
        <v>20</v>
      </c>
      <c r="D43" s="26" t="n"/>
      <c r="E43" s="26" t="n"/>
      <c r="F43" s="26" t="n"/>
      <c r="G43" s="173" t="n">
        <v>20</v>
      </c>
      <c r="H43" s="26" t="n"/>
      <c r="I43" s="26" t="n"/>
      <c r="J43" s="103" t="n"/>
      <c r="K43" s="174" t="n">
        <v>20</v>
      </c>
      <c r="L43" s="26" t="n"/>
      <c r="M43" s="26" t="n"/>
      <c r="N43" s="103" t="n"/>
    </row>
    <row r="44" hidden="1" outlineLevel="1">
      <c r="B44" s="6" t="inlineStr">
        <is>
          <t>Miete/m² (Bestand) inkl. BKZ</t>
        </is>
      </c>
      <c r="C44" s="173" t="n">
        <v>25</v>
      </c>
      <c r="D44" s="26" t="n"/>
      <c r="E44" s="26" t="n"/>
      <c r="F44" s="26" t="n"/>
      <c r="G44" s="173" t="n">
        <v>25</v>
      </c>
      <c r="H44" s="26" t="n"/>
      <c r="I44" s="26" t="n"/>
      <c r="J44" s="103" t="n"/>
      <c r="K44" s="174" t="n">
        <v>25</v>
      </c>
      <c r="L44" s="26" t="n"/>
      <c r="M44" s="26" t="n"/>
      <c r="N44" s="103" t="n"/>
    </row>
    <row r="45" hidden="1" outlineLevel="1">
      <c r="B45" s="6" t="inlineStr">
        <is>
          <t>Nebenkosten/m²</t>
        </is>
      </c>
      <c r="C45" s="173" t="n">
        <v>3</v>
      </c>
      <c r="D45" s="26" t="n"/>
      <c r="E45" s="26" t="n"/>
      <c r="F45" s="26" t="n"/>
      <c r="G45" s="173" t="n">
        <v>3</v>
      </c>
      <c r="H45" s="26" t="n"/>
      <c r="I45" s="26" t="n"/>
      <c r="J45" s="103" t="n"/>
      <c r="K45" s="174" t="n">
        <v>3</v>
      </c>
      <c r="L45" s="26" t="n"/>
      <c r="M45" s="26" t="n"/>
      <c r="N45" s="103" t="n"/>
    </row>
    <row r="46" hidden="1" outlineLevel="1">
      <c r="B46" s="6" t="inlineStr">
        <is>
          <t>Fläche pro Bett</t>
        </is>
      </c>
      <c r="C46" s="175" t="inlineStr">
        <is>
          <t>50m²</t>
        </is>
      </c>
      <c r="D46" s="176" t="inlineStr">
        <is>
          <t xml:space="preserve"> (d.h. 6er WG: 300m²; 12er WG: 600m²)</t>
        </is>
      </c>
      <c r="E46" s="26" t="n"/>
      <c r="F46" s="26" t="n"/>
      <c r="G46" s="175" t="inlineStr">
        <is>
          <t>50m²</t>
        </is>
      </c>
      <c r="H46" s="176" t="inlineStr">
        <is>
          <t xml:space="preserve"> (d.h. 6er WG: 300m²; 12er WG: 600m²)</t>
        </is>
      </c>
      <c r="I46" s="26" t="n"/>
      <c r="J46" s="103" t="n"/>
      <c r="K46" s="176" t="inlineStr">
        <is>
          <t>50m²</t>
        </is>
      </c>
      <c r="L46" s="176" t="inlineStr">
        <is>
          <t xml:space="preserve"> (d.h. 6er WG: 300m²; 12er WG: 600m²)</t>
        </is>
      </c>
      <c r="M46" s="26" t="n"/>
      <c r="N46" s="103" t="n"/>
    </row>
    <row r="47" hidden="1" outlineLevel="1">
      <c r="B47" s="6" t="inlineStr">
        <is>
          <t>Miete pro Bett pro Monat (exkl. Baukostenzuschuss)</t>
        </is>
      </c>
      <c r="C47" s="175" t="n">
        <v>1000</v>
      </c>
      <c r="D47" s="26" t="n"/>
      <c r="E47" s="26" t="n"/>
      <c r="F47" s="26" t="n"/>
      <c r="G47" s="175" t="n">
        <v>1000</v>
      </c>
      <c r="H47" s="26" t="n"/>
      <c r="I47" s="26" t="n"/>
      <c r="J47" s="103" t="n"/>
      <c r="K47" s="176" t="n">
        <v>1000</v>
      </c>
      <c r="L47" s="26" t="n"/>
      <c r="M47" s="26" t="n"/>
      <c r="N47" s="103" t="n"/>
    </row>
    <row r="48" hidden="1" outlineLevel="1">
      <c r="B48" s="6" t="inlineStr">
        <is>
          <t>Miete pro Bett pro Monat (inkl. BKZ über 10 Jahre)</t>
        </is>
      </c>
      <c r="C48" s="175" t="n">
        <v>1250</v>
      </c>
      <c r="D48" s="26" t="n"/>
      <c r="E48" s="26" t="n"/>
      <c r="F48" s="26" t="n"/>
      <c r="G48" s="175" t="n">
        <v>1250</v>
      </c>
      <c r="H48" s="26" t="n"/>
      <c r="I48" s="26" t="n"/>
      <c r="J48" s="103" t="n"/>
      <c r="K48" s="176" t="n">
        <v>1250</v>
      </c>
      <c r="L48" s="26" t="n"/>
      <c r="M48" s="26" t="n"/>
      <c r="N48" s="103" t="n"/>
    </row>
    <row r="49" hidden="1" outlineLevel="1">
      <c r="B49" s="6" t="inlineStr">
        <is>
          <t>Baukostenzuschuss pro Bett</t>
        </is>
      </c>
      <c r="C49" s="175" t="n">
        <v>40000</v>
      </c>
      <c r="D49" s="176" t="inlineStr">
        <is>
          <t>(d.h. 6er WG: 180.000 €, 12er WG: 360.000 €)</t>
        </is>
      </c>
      <c r="E49" s="26" t="n"/>
      <c r="F49" s="26" t="n"/>
      <c r="G49" s="175" t="n">
        <v>40000</v>
      </c>
      <c r="H49" s="176" t="inlineStr">
        <is>
          <t>(d.h. 6er WG: 180.000 €, 12er WG: 360.000 €)</t>
        </is>
      </c>
      <c r="I49" s="26" t="n"/>
      <c r="J49" s="103" t="n"/>
      <c r="K49" s="176" t="n">
        <v>40000</v>
      </c>
      <c r="L49" s="176" t="inlineStr">
        <is>
          <t>(d.h. 6er WG: 180.000 €, 12er WG: 360.000 €)</t>
        </is>
      </c>
      <c r="M49" s="26" t="n"/>
      <c r="N49" s="103" t="n"/>
    </row>
    <row r="50" hidden="1" outlineLevel="1">
      <c r="B50" s="6" t="inlineStr">
        <is>
          <t>Capex pro Bett (Möbel, Ausstattung, etc.)</t>
        </is>
      </c>
      <c r="C50" s="175" t="n">
        <v>30000</v>
      </c>
      <c r="D50" s="26" t="n"/>
      <c r="E50" s="26" t="n"/>
      <c r="F50" s="26" t="n"/>
      <c r="G50" s="175" t="n">
        <v>30000</v>
      </c>
      <c r="H50" s="26" t="n"/>
      <c r="I50" s="26" t="n"/>
      <c r="J50" s="103" t="n"/>
      <c r="K50" s="176" t="n">
        <v>30000</v>
      </c>
      <c r="L50" s="26" t="n"/>
      <c r="M50" s="26" t="n"/>
      <c r="N50" s="103" t="n"/>
    </row>
    <row r="51" hidden="1" outlineLevel="1">
      <c r="B51" s="6" t="inlineStr">
        <is>
          <t>Baukosten pro qm (Neubau)</t>
        </is>
      </c>
      <c r="C51" s="27" t="n">
        <v>0</v>
      </c>
      <c r="D51" s="26" t="n"/>
      <c r="E51" s="26" t="n"/>
      <c r="F51" s="26" t="n"/>
      <c r="G51" s="27" t="n">
        <v>0</v>
      </c>
      <c r="H51" s="26" t="n"/>
      <c r="I51" s="26" t="n"/>
      <c r="J51" s="103" t="n"/>
      <c r="K51" s="95" t="n">
        <v>0</v>
      </c>
      <c r="L51" s="26" t="n"/>
      <c r="M51" s="26" t="n"/>
      <c r="N51" s="103" t="n"/>
    </row>
    <row r="52" hidden="1" outlineLevel="1">
      <c r="G52" s="121" t="n"/>
    </row>
    <row r="53" collapsed="1">
      <c r="B53" s="9" t="inlineStr">
        <is>
          <t>Mietkosten</t>
        </is>
      </c>
      <c r="C53" s="9" t="n"/>
      <c r="D53" s="9" t="n"/>
      <c r="E53" s="9" t="n"/>
      <c r="F53" s="9" t="n"/>
      <c r="G53" s="125" t="n"/>
      <c r="H53" s="9" t="n"/>
      <c r="I53" s="9" t="n"/>
      <c r="J53" s="105" t="n"/>
    </row>
    <row r="54">
      <c r="B54" s="10" t="inlineStr">
        <is>
          <t>Einheit 1</t>
        </is>
      </c>
      <c r="C54" s="10" t="n"/>
      <c r="D54" s="10" t="n"/>
      <c r="E54" s="10" t="n"/>
      <c r="F54" s="88" t="n"/>
      <c r="G54" s="126" t="n"/>
      <c r="H54" s="10" t="n"/>
      <c r="I54" s="10" t="n"/>
      <c r="J54" s="106" t="n"/>
      <c r="K54" s="163" t="n"/>
      <c r="L54" s="164" t="n"/>
      <c r="M54" s="164" t="n"/>
      <c r="N54" s="165" t="n"/>
    </row>
    <row r="55">
      <c r="B55" s="6" t="inlineStr">
        <is>
          <t>Art (z.B. WG, Büro, etc.)</t>
        </is>
      </c>
      <c r="C55" s="27" t="inlineStr">
        <is>
          <t>WG</t>
        </is>
      </c>
      <c r="D55" s="26" t="n"/>
      <c r="E55" s="26" t="n"/>
      <c r="F55" s="26" t="n"/>
      <c r="G55" s="27" t="inlineStr">
        <is>
          <t>WG (Intensivpflege-Wohngemeinschaft)</t>
        </is>
      </c>
      <c r="H55" s="26" t="n"/>
      <c r="I55" s="26" t="n"/>
      <c r="J55" s="103" t="n"/>
      <c r="K55" s="95" t="inlineStr">
        <is>
          <t>WG</t>
        </is>
      </c>
      <c r="L55" s="26" t="n"/>
      <c r="M55" s="26" t="n"/>
      <c r="N55" s="103" t="n"/>
    </row>
    <row r="56">
      <c r="B56" s="6" t="inlineStr">
        <is>
          <t>Lage der Mietfläche (z.B. EG, 1. OG)</t>
        </is>
      </c>
      <c r="C56" s="27" t="inlineStr">
        <is>
          <t>2. und 3. OG</t>
        </is>
      </c>
      <c r="D56" s="26" t="n"/>
      <c r="E56" s="26" t="n"/>
      <c r="F56" s="26" t="n"/>
      <c r="G56" s="27" t="inlineStr">
        <is>
          <t>XXX</t>
        </is>
      </c>
      <c r="H56" s="26" t="n"/>
      <c r="I56" s="26" t="n"/>
      <c r="J56" s="103" t="n"/>
      <c r="K56" s="95" t="inlineStr">
        <is>
          <t>2. und 3. OG</t>
        </is>
      </c>
      <c r="L56" s="26" t="n"/>
      <c r="M56" s="26" t="n"/>
      <c r="N56" s="103" t="n"/>
    </row>
    <row r="57">
      <c r="B57" s="6" t="inlineStr">
        <is>
          <t>Kapazität (Anzahl Betten)</t>
        </is>
      </c>
      <c r="C57" s="27" t="inlineStr">
        <is>
          <t>12 Betten (6 Betten im 2. OG, 6 Betten im 3. OG)</t>
        </is>
      </c>
      <c r="D57" s="26" t="n"/>
      <c r="E57" s="26" t="n"/>
      <c r="F57" s="26" t="n"/>
      <c r="G57" s="27" t="inlineStr">
        <is>
          <t>18 Patientenzimmer</t>
        </is>
      </c>
      <c r="H57" s="26" t="n"/>
      <c r="I57" s="26" t="n"/>
      <c r="J57" s="103" t="n"/>
      <c r="K57" s="95" t="inlineStr">
        <is>
          <t>XXX</t>
        </is>
      </c>
      <c r="L57" s="26" t="n"/>
      <c r="M57" s="26" t="n"/>
      <c r="N57" s="103" t="n"/>
    </row>
    <row r="58">
      <c r="B58" s="6" t="inlineStr">
        <is>
          <t>Größe der Fläche (in qm)</t>
        </is>
      </c>
      <c r="C58" s="28" t="n">
        <v>695.28</v>
      </c>
      <c r="D58" s="26" t="n"/>
      <c r="E58" s="26" t="n"/>
      <c r="F58" s="26" t="n"/>
      <c r="G58" s="28" t="n">
        <v>1082</v>
      </c>
      <c r="H58" s="26" t="n"/>
      <c r="I58" s="26" t="n"/>
      <c r="J58" s="103" t="n"/>
      <c r="K58" s="96" t="n">
        <v>691.0700000000001</v>
      </c>
      <c r="L58" s="26" t="n"/>
      <c r="M58" s="26" t="n"/>
      <c r="N58" s="103" t="n"/>
    </row>
    <row r="59">
      <c r="B59" s="6" t="inlineStr">
        <is>
          <t>Mietbeginn (falls abweichned)</t>
        </is>
      </c>
      <c r="C59" s="29" t="n">
        <v>44301</v>
      </c>
      <c r="D59" s="26" t="n"/>
      <c r="E59" s="26" t="n"/>
      <c r="F59" s="26" t="n"/>
      <c r="G59" s="29" t="inlineStr">
        <is>
          <t>XXX</t>
        </is>
      </c>
      <c r="H59" s="26" t="n"/>
      <c r="I59" s="26" t="n"/>
      <c r="J59" s="103" t="n"/>
      <c r="K59" s="92" t="n">
        <v>46266</v>
      </c>
      <c r="L59" s="26" t="n"/>
      <c r="M59" s="26" t="n"/>
      <c r="N59" s="103" t="n"/>
    </row>
    <row r="60">
      <c r="G60" s="121" t="n"/>
    </row>
    <row r="61">
      <c r="B61" s="11" t="inlineStr">
        <is>
          <t>Kosten Einheit 1</t>
        </is>
      </c>
      <c r="C61" s="12" t="inlineStr">
        <is>
          <t>Anzahl</t>
        </is>
      </c>
      <c r="D61" s="12" t="inlineStr">
        <is>
          <t>€ pro Einheit</t>
        </is>
      </c>
      <c r="E61" s="12" t="inlineStr">
        <is>
          <t>€ pro Monat</t>
        </is>
      </c>
      <c r="F61" s="12" t="inlineStr">
        <is>
          <t>€ pro Jahr</t>
        </is>
      </c>
      <c r="G61" s="127" t="inlineStr">
        <is>
          <t>Anzahl</t>
        </is>
      </c>
      <c r="H61" s="12" t="inlineStr">
        <is>
          <t>€ pro Einheit</t>
        </is>
      </c>
      <c r="I61" s="12" t="inlineStr">
        <is>
          <t>€ pro Monat</t>
        </is>
      </c>
      <c r="J61" s="107" t="inlineStr">
        <is>
          <t>€ pro Jahr</t>
        </is>
      </c>
      <c r="K61" s="12" t="inlineStr">
        <is>
          <t>Anzahl</t>
        </is>
      </c>
      <c r="L61" s="12" t="inlineStr">
        <is>
          <t>€ pro Einheit</t>
        </is>
      </c>
      <c r="M61" s="12" t="inlineStr">
        <is>
          <t>€ pro Monat</t>
        </is>
      </c>
      <c r="N61" s="107" t="inlineStr">
        <is>
          <t>€ pro Jahr</t>
        </is>
      </c>
    </row>
    <row r="62">
      <c r="B62" s="2" t="inlineStr">
        <is>
          <t>Nettokaltmiete</t>
        </is>
      </c>
      <c r="C62" s="30" t="n">
        <v>695.28</v>
      </c>
      <c r="D62" s="31" t="n">
        <v>12.5</v>
      </c>
      <c r="E62" s="13">
        <f>+C62*D62</f>
        <v/>
      </c>
      <c r="F62" s="89">
        <f>+E62*12</f>
        <v/>
      </c>
      <c r="G62" s="30" t="n">
        <v>1082</v>
      </c>
      <c r="H62" s="31" t="n">
        <v>7.855822550831793</v>
      </c>
      <c r="I62" s="13">
        <f>+G62*H62</f>
        <v/>
      </c>
      <c r="J62" s="108">
        <f>+I62*12</f>
        <v/>
      </c>
      <c r="K62" s="97" t="n">
        <v>691.0700000000001</v>
      </c>
      <c r="L62" s="31" t="n">
        <v>14.95</v>
      </c>
      <c r="M62" s="13">
        <f>+K62*L62</f>
        <v/>
      </c>
      <c r="N62" s="108">
        <f>+M62*12</f>
        <v/>
      </c>
    </row>
    <row r="63">
      <c r="B63" s="6" t="inlineStr">
        <is>
          <t>Nebenkostenpauschale</t>
        </is>
      </c>
      <c r="C63" s="32">
        <f>+C62</f>
        <v/>
      </c>
      <c r="D63" s="33" t="n">
        <v>3.5</v>
      </c>
      <c r="E63" s="13">
        <f>+C63*D63</f>
        <v/>
      </c>
      <c r="F63" s="89">
        <f>+E63*12</f>
        <v/>
      </c>
      <c r="G63" s="32">
        <f>+G62</f>
        <v/>
      </c>
      <c r="H63" s="33" t="n">
        <v>4.343807763401109</v>
      </c>
      <c r="I63" s="13">
        <f>+G63*H63</f>
        <v/>
      </c>
      <c r="J63" s="108">
        <f>+I63*12</f>
        <v/>
      </c>
      <c r="K63" s="98">
        <f>+K62</f>
        <v/>
      </c>
      <c r="L63" s="33" t="n">
        <v>4.538205146584475</v>
      </c>
      <c r="M63" s="13">
        <f>+K63*L63</f>
        <v/>
      </c>
      <c r="N63" s="108">
        <f>+M63*12</f>
        <v/>
      </c>
    </row>
    <row r="64">
      <c r="B64" s="6" t="inlineStr">
        <is>
          <t>Stellplätze</t>
        </is>
      </c>
      <c r="C64" s="34" t="n">
        <v>11</v>
      </c>
      <c r="D64" s="33" t="n">
        <v>43.63636363636363</v>
      </c>
      <c r="E64" s="13">
        <f>+C64*D64</f>
        <v/>
      </c>
      <c r="F64" s="89">
        <f>+E64*12</f>
        <v/>
      </c>
      <c r="G64" s="34" t="n">
        <v>0</v>
      </c>
      <c r="H64" s="33" t="n">
        <v>0</v>
      </c>
      <c r="I64" s="13">
        <f>+G64*H64</f>
        <v/>
      </c>
      <c r="J64" s="108">
        <f>+I64*12</f>
        <v/>
      </c>
      <c r="K64" s="99" t="n">
        <v>11</v>
      </c>
      <c r="L64" s="33" t="n">
        <v>43.63636363636363</v>
      </c>
      <c r="M64" s="13">
        <f>+K64*L64</f>
        <v/>
      </c>
      <c r="N64" s="108">
        <f>+M64*12</f>
        <v/>
      </c>
    </row>
    <row r="65">
      <c r="B65" s="6" t="inlineStr">
        <is>
          <t>Terasse</t>
        </is>
      </c>
      <c r="C65" s="32" t="n">
        <v>0</v>
      </c>
      <c r="D65" s="33" t="n">
        <v>0</v>
      </c>
      <c r="E65" s="13">
        <f>+C65*D65</f>
        <v/>
      </c>
      <c r="F65" s="89">
        <f>+E65*12</f>
        <v/>
      </c>
      <c r="G65" s="32" t="n">
        <v>0</v>
      </c>
      <c r="H65" s="33" t="n">
        <v>0</v>
      </c>
      <c r="I65" s="13">
        <f>+G65*H65</f>
        <v/>
      </c>
      <c r="J65" s="108">
        <f>+I65*12</f>
        <v/>
      </c>
      <c r="K65" s="98" t="n">
        <v>0</v>
      </c>
      <c r="L65" s="33" t="n">
        <v>0</v>
      </c>
      <c r="M65" s="13">
        <f>+K65*L65</f>
        <v/>
      </c>
      <c r="N65" s="108">
        <f>+M65*12</f>
        <v/>
      </c>
    </row>
    <row r="66">
      <c r="B66" s="6" t="inlineStr">
        <is>
          <t>Keller</t>
        </is>
      </c>
      <c r="C66" s="177" t="n">
        <v>18.65</v>
      </c>
      <c r="D66" s="33" t="n">
        <v>5</v>
      </c>
      <c r="E66" s="13">
        <f>+C66*D66</f>
        <v/>
      </c>
      <c r="F66" s="89">
        <f>+E66*12</f>
        <v/>
      </c>
      <c r="G66" s="32" t="n">
        <v>0</v>
      </c>
      <c r="H66" s="33" t="n">
        <v>0</v>
      </c>
      <c r="I66" s="13">
        <f>+G66*H66</f>
        <v/>
      </c>
      <c r="J66" s="108">
        <f>+I66*12</f>
        <v/>
      </c>
      <c r="K66" s="98" t="n">
        <v>18.65</v>
      </c>
      <c r="L66" s="33" t="n">
        <v>5</v>
      </c>
      <c r="M66" s="13">
        <f>+K66*L66</f>
        <v/>
      </c>
      <c r="N66" s="108">
        <f>+M66*12</f>
        <v/>
      </c>
    </row>
    <row r="67">
      <c r="B67" s="6" t="inlineStr">
        <is>
          <t>Sonstiges</t>
        </is>
      </c>
      <c r="C67" s="34" t="n">
        <v>0</v>
      </c>
      <c r="D67" s="33" t="n">
        <v>0</v>
      </c>
      <c r="E67" s="13">
        <f>+C67*D67</f>
        <v/>
      </c>
      <c r="F67" s="89">
        <f>+E67*12</f>
        <v/>
      </c>
      <c r="G67" s="34" t="n">
        <v>0</v>
      </c>
      <c r="H67" s="33" t="n">
        <v>0</v>
      </c>
      <c r="I67" s="13">
        <f>+G67*H67</f>
        <v/>
      </c>
      <c r="J67" s="108">
        <f>+I67*12</f>
        <v/>
      </c>
      <c r="K67" s="99" t="n">
        <v>0</v>
      </c>
      <c r="L67" s="33" t="n">
        <v>0</v>
      </c>
      <c r="M67" s="13">
        <f>+K67*L67</f>
        <v/>
      </c>
      <c r="N67" s="108">
        <f>+M67*12</f>
        <v/>
      </c>
    </row>
    <row r="68" ht="8.25" customHeight="1">
      <c r="B68" s="14" t="n"/>
      <c r="C68" s="15" t="n"/>
      <c r="D68" s="16" t="n"/>
      <c r="E68" s="17" t="n"/>
      <c r="F68" s="17" t="n"/>
      <c r="G68" s="15" t="n"/>
      <c r="H68" s="16" t="n"/>
      <c r="I68" s="17" t="n"/>
      <c r="J68" s="109" t="n"/>
      <c r="K68" s="85" t="n"/>
      <c r="L68" s="16" t="n"/>
      <c r="M68" s="17" t="n"/>
      <c r="N68" s="109" t="n"/>
    </row>
    <row r="69" customFormat="1" s="1">
      <c r="B69" s="1" t="inlineStr">
        <is>
          <t>Summe</t>
        </is>
      </c>
      <c r="C69" s="18" t="n"/>
      <c r="D69" s="19" t="n"/>
      <c r="E69" s="20">
        <f>+SUM(E62:E68)</f>
        <v/>
      </c>
      <c r="F69" s="90">
        <f>+SUM(F62:F68)</f>
        <v/>
      </c>
      <c r="G69" s="18" t="n"/>
      <c r="H69" s="19" t="n"/>
      <c r="I69" s="20">
        <f>+SUM(I62:I68)</f>
        <v/>
      </c>
      <c r="J69" s="110">
        <f>+SUM(J62:J68)</f>
        <v/>
      </c>
      <c r="K69" s="86" t="n"/>
      <c r="L69" s="19" t="n"/>
      <c r="M69" s="20">
        <f>+SUM(M62:M68)</f>
        <v/>
      </c>
      <c r="N69" s="110">
        <f>+SUM(N62:N68)</f>
        <v/>
      </c>
    </row>
    <row r="70" ht="6.75" customHeight="1" thickBot="1">
      <c r="B70" s="7" t="n"/>
      <c r="C70" s="8" t="n"/>
      <c r="D70" s="7" t="n"/>
      <c r="E70" s="7" t="n"/>
      <c r="F70" s="7" t="n"/>
      <c r="G70" s="8" t="n"/>
      <c r="H70" s="7" t="n"/>
      <c r="I70" s="7" t="n"/>
      <c r="J70" s="104" t="n"/>
      <c r="K70" s="7" t="n"/>
      <c r="L70" s="7" t="n"/>
      <c r="M70" s="7" t="n"/>
      <c r="N70" s="104" t="n"/>
    </row>
    <row r="71">
      <c r="G71" s="121" t="n"/>
    </row>
    <row r="72">
      <c r="B72" s="10" t="inlineStr">
        <is>
          <t>Einheit 2</t>
        </is>
      </c>
      <c r="C72" s="10" t="n"/>
      <c r="D72" s="10" t="n"/>
      <c r="E72" s="10" t="n"/>
      <c r="F72" s="88" t="n"/>
      <c r="G72" s="128" t="n"/>
      <c r="H72" s="56" t="n"/>
      <c r="I72" s="56" t="n"/>
      <c r="J72" s="111" t="n"/>
      <c r="K72" s="88" t="n"/>
      <c r="L72" s="10" t="n"/>
      <c r="M72" s="10" t="n"/>
      <c r="N72" s="106" t="n"/>
    </row>
    <row r="73">
      <c r="B73" s="6" t="inlineStr">
        <is>
          <t>Art (z.B. WG, Büro, etc.)</t>
        </is>
      </c>
      <c r="C73" s="27" t="inlineStr">
        <is>
          <t>WG</t>
        </is>
      </c>
      <c r="D73" s="26" t="n"/>
      <c r="E73" s="26" t="n"/>
      <c r="F73" s="26" t="n"/>
      <c r="G73" s="129" t="n"/>
      <c r="H73" s="57" t="n"/>
      <c r="I73" s="57" t="n"/>
      <c r="J73" s="112" t="n"/>
      <c r="K73" s="95" t="inlineStr">
        <is>
          <t>WG</t>
        </is>
      </c>
      <c r="L73" s="26" t="n"/>
      <c r="M73" s="26" t="n"/>
      <c r="N73" s="103" t="n"/>
    </row>
    <row r="74">
      <c r="B74" s="6" t="inlineStr">
        <is>
          <t>Lage der Mietfläche (z.B. EG, 1. OG)</t>
        </is>
      </c>
      <c r="C74" s="27" t="inlineStr">
        <is>
          <t>1. OG (komplett)</t>
        </is>
      </c>
      <c r="D74" s="26" t="n"/>
      <c r="E74" s="26" t="n"/>
      <c r="F74" s="26" t="n"/>
      <c r="G74" s="129" t="n"/>
      <c r="H74" s="57" t="n"/>
      <c r="I74" s="57" t="n"/>
      <c r="J74" s="112" t="n"/>
      <c r="K74" s="95" t="inlineStr">
        <is>
          <t>1. OG (gesamt)</t>
        </is>
      </c>
      <c r="L74" s="26" t="n"/>
      <c r="M74" s="26" t="n"/>
      <c r="N74" s="103" t="n"/>
    </row>
    <row r="75">
      <c r="B75" s="6" t="inlineStr">
        <is>
          <t>Kapazität (Anzahl Betten)</t>
        </is>
      </c>
      <c r="C75" s="27" t="inlineStr">
        <is>
          <t>5 Betten</t>
        </is>
      </c>
      <c r="D75" s="26" t="n"/>
      <c r="E75" s="26" t="n"/>
      <c r="F75" s="26" t="n"/>
      <c r="G75" s="129" t="n"/>
      <c r="H75" s="57" t="n"/>
      <c r="I75" s="57" t="n"/>
      <c r="J75" s="112" t="n"/>
      <c r="K75" s="95" t="inlineStr">
        <is>
          <t>XXX</t>
        </is>
      </c>
      <c r="L75" s="26" t="n"/>
      <c r="M75" s="26" t="n"/>
      <c r="N75" s="103" t="n"/>
    </row>
    <row r="76">
      <c r="B76" s="6" t="inlineStr">
        <is>
          <t>Größe der Fläche (in qm)</t>
        </is>
      </c>
      <c r="C76" s="28" t="n">
        <v>350.32</v>
      </c>
      <c r="D76" s="26" t="n"/>
      <c r="E76" s="26" t="n"/>
      <c r="F76" s="26" t="n"/>
      <c r="G76" s="130" t="n"/>
      <c r="H76" s="57" t="n"/>
      <c r="I76" s="57" t="n"/>
      <c r="J76" s="112" t="n"/>
      <c r="K76" s="96" t="n">
        <v>350.32</v>
      </c>
      <c r="L76" s="26" t="n"/>
      <c r="M76" s="26" t="n"/>
      <c r="N76" s="103" t="n"/>
    </row>
    <row r="77">
      <c r="B77" s="6" t="inlineStr">
        <is>
          <t>Mietbeginn (falls abweichned)</t>
        </is>
      </c>
      <c r="C77" s="29" t="inlineStr">
        <is>
          <t>15.10.2023 (1. OG); Keller 70 qm ab 15.04.2023</t>
        </is>
      </c>
      <c r="D77" s="26" t="n"/>
      <c r="E77" s="26" t="n"/>
      <c r="F77" s="26" t="n"/>
      <c r="G77" s="131" t="n"/>
      <c r="H77" s="57" t="n"/>
      <c r="I77" s="57" t="n"/>
      <c r="J77" s="112" t="n"/>
      <c r="K77" s="92" t="n">
        <v>46266</v>
      </c>
      <c r="L77" s="26" t="n"/>
      <c r="M77" s="26" t="n"/>
      <c r="N77" s="103" t="n"/>
    </row>
    <row r="78">
      <c r="G78" s="132" t="n"/>
      <c r="H78" s="58" t="n"/>
      <c r="I78" s="58" t="n"/>
      <c r="J78" s="113" t="n"/>
      <c r="M78" s="2" t="n"/>
    </row>
    <row r="79">
      <c r="B79" s="11" t="inlineStr">
        <is>
          <t>Kosten Einheit 2</t>
        </is>
      </c>
      <c r="C79" s="12" t="inlineStr">
        <is>
          <t>Anzahl</t>
        </is>
      </c>
      <c r="D79" s="12" t="inlineStr">
        <is>
          <t>€ pro Einheit</t>
        </is>
      </c>
      <c r="E79" s="12" t="inlineStr">
        <is>
          <t>€ pro Monat</t>
        </is>
      </c>
      <c r="F79" s="12" t="inlineStr">
        <is>
          <t>€ pro Jahr</t>
        </is>
      </c>
      <c r="G79" s="133" t="n"/>
      <c r="H79" s="59" t="n"/>
      <c r="I79" s="59" t="n"/>
      <c r="J79" s="114" t="n"/>
      <c r="K79" s="12" t="n"/>
      <c r="L79" s="12" t="n"/>
      <c r="M79" s="12" t="n"/>
      <c r="N79" s="107" t="n"/>
    </row>
    <row r="80">
      <c r="B80" s="2" t="inlineStr">
        <is>
          <t>Nettokaltmiete</t>
        </is>
      </c>
      <c r="C80" s="30" t="n">
        <v>350.32</v>
      </c>
      <c r="D80" s="31" t="n">
        <v>12.5</v>
      </c>
      <c r="E80" s="13">
        <f>+C80*D80</f>
        <v/>
      </c>
      <c r="F80" s="89">
        <f>+E80*12</f>
        <v/>
      </c>
      <c r="G80" s="134" t="n"/>
      <c r="H80" s="60" t="n"/>
      <c r="I80" s="61" t="n"/>
      <c r="J80" s="115" t="n"/>
      <c r="K80" s="97" t="n">
        <v>350.32</v>
      </c>
      <c r="L80" s="31" t="n">
        <v>14.95</v>
      </c>
      <c r="M80" s="13">
        <f>+K80*L80</f>
        <v/>
      </c>
      <c r="N80" s="108">
        <f>+M80*12</f>
        <v/>
      </c>
    </row>
    <row r="81">
      <c r="B81" s="6" t="inlineStr">
        <is>
          <t>Nebenkostenpauschale</t>
        </is>
      </c>
      <c r="C81" s="32">
        <f>+C80</f>
        <v/>
      </c>
      <c r="D81" s="33" t="n">
        <v>3.5</v>
      </c>
      <c r="E81" s="13">
        <f>+C81*D81</f>
        <v/>
      </c>
      <c r="F81" s="89">
        <f>+E81*12</f>
        <v/>
      </c>
      <c r="G81" s="135" t="n"/>
      <c r="H81" s="62" t="n"/>
      <c r="I81" s="61" t="n"/>
      <c r="J81" s="115" t="n"/>
      <c r="K81" s="98">
        <f>+K80</f>
        <v/>
      </c>
      <c r="L81" s="33" t="n">
        <v>4.538205146584475</v>
      </c>
      <c r="M81" s="13">
        <f>+K81*L81</f>
        <v/>
      </c>
      <c r="N81" s="108">
        <f>+M81*12</f>
        <v/>
      </c>
    </row>
    <row r="82">
      <c r="B82" s="6" t="inlineStr">
        <is>
          <t>Stellplätze</t>
        </is>
      </c>
      <c r="C82" s="34" t="n">
        <v>3</v>
      </c>
      <c r="D82" s="33" t="n">
        <v>60</v>
      </c>
      <c r="E82" s="13">
        <f>+C82*D82</f>
        <v/>
      </c>
      <c r="F82" s="89">
        <f>+E82*12</f>
        <v/>
      </c>
      <c r="G82" s="136" t="n"/>
      <c r="H82" s="62" t="n"/>
      <c r="I82" s="61" t="n"/>
      <c r="J82" s="115" t="n"/>
      <c r="K82" s="99" t="n">
        <v>3</v>
      </c>
      <c r="L82" s="33" t="n">
        <v>60</v>
      </c>
      <c r="M82" s="13">
        <f>+K82*L82</f>
        <v/>
      </c>
      <c r="N82" s="108">
        <f>+M82*12</f>
        <v/>
      </c>
    </row>
    <row r="83">
      <c r="B83" s="6" t="inlineStr">
        <is>
          <t>Terasse</t>
        </is>
      </c>
      <c r="C83" s="32" t="n">
        <v>0</v>
      </c>
      <c r="D83" s="33" t="n">
        <v>0</v>
      </c>
      <c r="E83" s="13">
        <f>+C83*D83</f>
        <v/>
      </c>
      <c r="F83" s="89">
        <f>+E83*12</f>
        <v/>
      </c>
      <c r="G83" s="135" t="n"/>
      <c r="H83" s="62" t="n"/>
      <c r="I83" s="61" t="n"/>
      <c r="J83" s="115" t="n"/>
      <c r="K83" s="98" t="n">
        <v>0</v>
      </c>
      <c r="L83" s="33" t="n">
        <v>0</v>
      </c>
      <c r="M83" s="13">
        <f>+K83*L83</f>
        <v/>
      </c>
      <c r="N83" s="108">
        <f>+M83*12</f>
        <v/>
      </c>
    </row>
    <row r="84">
      <c r="B84" s="6" t="inlineStr">
        <is>
          <t>Keller</t>
        </is>
      </c>
      <c r="C84" s="32" t="n">
        <v>70</v>
      </c>
      <c r="D84" s="33" t="n">
        <v>5</v>
      </c>
      <c r="E84" s="13">
        <f>+C84*D84</f>
        <v/>
      </c>
      <c r="F84" s="89">
        <f>+E84*12</f>
        <v/>
      </c>
      <c r="G84" s="135" t="n"/>
      <c r="H84" s="62" t="n"/>
      <c r="I84" s="61" t="n"/>
      <c r="J84" s="115" t="n"/>
      <c r="K84" s="98" t="n">
        <v>70</v>
      </c>
      <c r="L84" s="33" t="n">
        <v>5</v>
      </c>
      <c r="M84" s="13">
        <f>+K84*L84</f>
        <v/>
      </c>
      <c r="N84" s="108">
        <f>+M84*12</f>
        <v/>
      </c>
    </row>
    <row r="85">
      <c r="B85" s="49" t="inlineStr">
        <is>
          <t>Statische Mehraufwendungen</t>
        </is>
      </c>
      <c r="C85" s="51" t="n">
        <v>1</v>
      </c>
      <c r="D85" s="52" t="n">
        <v>600</v>
      </c>
      <c r="E85" s="13">
        <f>+C85*D85</f>
        <v/>
      </c>
      <c r="F85" s="89">
        <f>+E85*12</f>
        <v/>
      </c>
      <c r="G85" s="136" t="n"/>
      <c r="H85" s="62" t="n"/>
      <c r="I85" s="61" t="n"/>
      <c r="J85" s="115" t="n"/>
      <c r="K85" s="98" t="n">
        <v>0</v>
      </c>
      <c r="L85" s="33" t="n">
        <v>0</v>
      </c>
      <c r="M85" s="13">
        <f>+K85*L85</f>
        <v/>
      </c>
      <c r="N85" s="108">
        <f>+M85*12</f>
        <v/>
      </c>
    </row>
    <row r="86" ht="8.25" customHeight="1">
      <c r="B86" s="14" t="n"/>
      <c r="C86" s="15" t="n"/>
      <c r="D86" s="16" t="n"/>
      <c r="E86" s="17" t="n"/>
      <c r="F86" s="17" t="n"/>
      <c r="G86" s="137" t="n"/>
      <c r="H86" s="63" t="n"/>
      <c r="I86" s="64" t="n"/>
      <c r="J86" s="116" t="n"/>
      <c r="K86" s="85" t="n"/>
      <c r="L86" s="16" t="n"/>
      <c r="M86" s="17" t="n"/>
      <c r="N86" s="109" t="n"/>
    </row>
    <row r="87" customFormat="1" s="1">
      <c r="B87" s="1" t="inlineStr">
        <is>
          <t>Summe</t>
        </is>
      </c>
      <c r="C87" s="18" t="n"/>
      <c r="D87" s="19" t="n"/>
      <c r="E87" s="20">
        <f>+SUM(E80:E86)</f>
        <v/>
      </c>
      <c r="F87" s="90">
        <f>+SUM(F80:F86)</f>
        <v/>
      </c>
      <c r="G87" s="138" t="n"/>
      <c r="H87" s="65" t="n"/>
      <c r="I87" s="66" t="n"/>
      <c r="J87" s="117" t="n"/>
      <c r="K87" s="86" t="n"/>
      <c r="L87" s="19" t="n"/>
      <c r="M87" s="20">
        <f>+SUM(M80:M86)</f>
        <v/>
      </c>
      <c r="N87" s="110">
        <f>+SUM(N80:N86)</f>
        <v/>
      </c>
    </row>
    <row r="88" ht="6.75" customHeight="1" thickBot="1">
      <c r="B88" s="7" t="n"/>
      <c r="C88" s="8" t="n"/>
      <c r="D88" s="7" t="n"/>
      <c r="E88" s="7" t="n"/>
      <c r="F88" s="7" t="n"/>
      <c r="G88" s="139" t="n"/>
      <c r="H88" s="67" t="n"/>
      <c r="I88" s="67" t="n"/>
      <c r="J88" s="118" t="n"/>
      <c r="K88" s="7" t="n"/>
      <c r="L88" s="7" t="n"/>
      <c r="M88" s="7" t="n"/>
      <c r="N88" s="104" t="n"/>
    </row>
    <row r="89">
      <c r="G89" s="132" t="n"/>
      <c r="H89" s="58" t="n"/>
      <c r="I89" s="58" t="n"/>
      <c r="J89" s="113" t="n"/>
      <c r="M89" s="2" t="n"/>
    </row>
    <row r="90">
      <c r="B90" s="10" t="inlineStr">
        <is>
          <t>Einheit 3</t>
        </is>
      </c>
      <c r="C90" s="10" t="n"/>
      <c r="D90" s="10" t="n"/>
      <c r="E90" s="10" t="n"/>
      <c r="F90" s="88" t="n"/>
      <c r="G90" s="128" t="n"/>
      <c r="H90" s="56" t="n"/>
      <c r="I90" s="56" t="n"/>
      <c r="J90" s="111" t="n"/>
      <c r="K90" s="88" t="n"/>
      <c r="L90" s="10" t="n"/>
      <c r="M90" s="10" t="n"/>
      <c r="N90" s="106" t="n"/>
    </row>
    <row r="91">
      <c r="B91" s="6" t="inlineStr">
        <is>
          <t>Art (z.B. WG, Büro, etc.)</t>
        </is>
      </c>
      <c r="C91" s="27" t="inlineStr">
        <is>
          <t>Nebenfläche</t>
        </is>
      </c>
      <c r="D91" s="26" t="n"/>
      <c r="E91" s="26" t="n"/>
      <c r="F91" s="26" t="n"/>
      <c r="G91" s="129" t="n"/>
      <c r="H91" s="57" t="n"/>
      <c r="I91" s="57" t="n"/>
      <c r="J91" s="112" t="n"/>
      <c r="K91" s="95" t="inlineStr">
        <is>
          <t>Mieteinheit „07“</t>
        </is>
      </c>
      <c r="L91" s="26" t="n"/>
      <c r="M91" s="26" t="n"/>
      <c r="N91" s="103" t="n"/>
    </row>
    <row r="92">
      <c r="B92" s="6" t="inlineStr">
        <is>
          <t>Lage der Mietfläche (z.B. EG, 1. OG)</t>
        </is>
      </c>
      <c r="C92" s="27" t="inlineStr">
        <is>
          <t>4. OG</t>
        </is>
      </c>
      <c r="D92" s="26" t="n"/>
      <c r="E92" s="26" t="n"/>
      <c r="F92" s="26" t="n"/>
      <c r="G92" s="129" t="n"/>
      <c r="H92" s="57" t="n"/>
      <c r="I92" s="57" t="n"/>
      <c r="J92" s="112" t="n"/>
      <c r="K92" s="95" t="inlineStr">
        <is>
          <t>4. OG</t>
        </is>
      </c>
      <c r="L92" s="26" t="n"/>
      <c r="M92" s="26" t="n"/>
      <c r="N92" s="103" t="n"/>
    </row>
    <row r="93">
      <c r="B93" s="6" t="inlineStr">
        <is>
          <t>Kapazität (Anzahl Betten)</t>
        </is>
      </c>
      <c r="C93" s="27" t="n">
        <v>0</v>
      </c>
      <c r="D93" s="26" t="n"/>
      <c r="E93" s="26" t="n"/>
      <c r="F93" s="26" t="n"/>
      <c r="G93" s="129" t="n"/>
      <c r="H93" s="57" t="n"/>
      <c r="I93" s="57" t="n"/>
      <c r="J93" s="112" t="n"/>
      <c r="K93" s="95" t="n">
        <v>0</v>
      </c>
      <c r="L93" s="26" t="n"/>
      <c r="M93" s="26" t="n"/>
      <c r="N93" s="103" t="n"/>
    </row>
    <row r="94">
      <c r="B94" s="6" t="inlineStr">
        <is>
          <t>Größe der Fläche (in qm)</t>
        </is>
      </c>
      <c r="C94" s="28" t="n">
        <v>59</v>
      </c>
      <c r="D94" s="26" t="n"/>
      <c r="E94" s="26" t="n"/>
      <c r="F94" s="26" t="n"/>
      <c r="G94" s="130" t="n"/>
      <c r="H94" s="57" t="n"/>
      <c r="I94" s="57" t="n"/>
      <c r="J94" s="112" t="n"/>
      <c r="K94" s="96" t="n">
        <v>74.69</v>
      </c>
      <c r="L94" s="26" t="n"/>
      <c r="M94" s="26" t="n"/>
      <c r="N94" s="103" t="n"/>
    </row>
    <row r="95">
      <c r="B95" s="6" t="inlineStr">
        <is>
          <t>Mietbeginn (falls abweichned)</t>
        </is>
      </c>
      <c r="C95" s="29" t="n">
        <v>44301</v>
      </c>
      <c r="D95" s="26" t="n"/>
      <c r="E95" s="26" t="n"/>
      <c r="F95" s="26" t="n"/>
      <c r="G95" s="131" t="n"/>
      <c r="H95" s="57" t="n"/>
      <c r="I95" s="57" t="n"/>
      <c r="J95" s="112" t="n"/>
      <c r="K95" s="92" t="n">
        <v>46266</v>
      </c>
      <c r="L95" s="26" t="n"/>
      <c r="M95" s="26" t="n"/>
      <c r="N95" s="103" t="n"/>
    </row>
    <row r="96">
      <c r="G96" s="132" t="n"/>
      <c r="H96" s="58" t="n"/>
      <c r="I96" s="58" t="n"/>
      <c r="J96" s="113" t="n"/>
      <c r="M96" s="2" t="n"/>
    </row>
    <row r="97">
      <c r="B97" s="11" t="inlineStr">
        <is>
          <t>Kosten Einheit 3</t>
        </is>
      </c>
      <c r="C97" s="12" t="inlineStr">
        <is>
          <t>Anzahl</t>
        </is>
      </c>
      <c r="D97" s="12" t="inlineStr">
        <is>
          <t>€ pro Einheit</t>
        </is>
      </c>
      <c r="E97" s="12" t="inlineStr">
        <is>
          <t>€ pro Monat</t>
        </is>
      </c>
      <c r="F97" s="12" t="inlineStr">
        <is>
          <t>€ pro Jahr</t>
        </is>
      </c>
      <c r="G97" s="133" t="n"/>
      <c r="H97" s="59" t="n"/>
      <c r="I97" s="59" t="n"/>
      <c r="J97" s="114" t="n"/>
      <c r="K97" s="12" t="n"/>
      <c r="L97" s="12" t="n"/>
      <c r="M97" s="12" t="n"/>
      <c r="N97" s="107" t="n"/>
    </row>
    <row r="98">
      <c r="B98" s="2" t="inlineStr">
        <is>
          <t>Nettokaltmiete</t>
        </is>
      </c>
      <c r="C98" s="30" t="n">
        <v>59</v>
      </c>
      <c r="D98" s="31" t="n">
        <v>12.5</v>
      </c>
      <c r="E98" s="13">
        <f>+C98*D98</f>
        <v/>
      </c>
      <c r="F98" s="89">
        <f>+E98*12</f>
        <v/>
      </c>
      <c r="G98" s="134" t="n"/>
      <c r="H98" s="60" t="n"/>
      <c r="I98" s="61" t="n"/>
      <c r="J98" s="115" t="n"/>
      <c r="K98" s="97" t="n">
        <v>74.69</v>
      </c>
      <c r="L98" s="31" t="n">
        <v>14.95</v>
      </c>
      <c r="M98" s="13">
        <f>+K98*L98</f>
        <v/>
      </c>
      <c r="N98" s="108">
        <f>+M98*12</f>
        <v/>
      </c>
    </row>
    <row r="99">
      <c r="B99" s="6" t="inlineStr">
        <is>
          <t>Nebenkostenpauschale</t>
        </is>
      </c>
      <c r="C99" s="32">
        <f>+C98</f>
        <v/>
      </c>
      <c r="D99" s="33" t="n">
        <v>3.5</v>
      </c>
      <c r="E99" s="13">
        <f>+C99*D99</f>
        <v/>
      </c>
      <c r="F99" s="89">
        <f>+E99*12</f>
        <v/>
      </c>
      <c r="G99" s="135" t="n"/>
      <c r="H99" s="62" t="n"/>
      <c r="I99" s="61" t="n"/>
      <c r="J99" s="115" t="n"/>
      <c r="K99" s="98">
        <f>+K98</f>
        <v/>
      </c>
      <c r="L99" s="33" t="n">
        <v>4.538205146584475</v>
      </c>
      <c r="M99" s="13">
        <f>+K99*L99</f>
        <v/>
      </c>
      <c r="N99" s="108">
        <f>+M99*12</f>
        <v/>
      </c>
    </row>
    <row r="100">
      <c r="B100" s="6" t="inlineStr">
        <is>
          <t>Stellplätze</t>
        </is>
      </c>
      <c r="C100" s="34" t="n">
        <v>0</v>
      </c>
      <c r="D100" s="33" t="n">
        <v>0</v>
      </c>
      <c r="E100" s="13">
        <f>+C100*D100</f>
        <v/>
      </c>
      <c r="F100" s="89">
        <f>+E100*12</f>
        <v/>
      </c>
      <c r="G100" s="136" t="n"/>
      <c r="H100" s="62" t="n"/>
      <c r="I100" s="61" t="n"/>
      <c r="J100" s="115" t="n"/>
      <c r="K100" s="99" t="n">
        <v>0</v>
      </c>
      <c r="L100" s="33" t="n">
        <v>0</v>
      </c>
      <c r="M100" s="13">
        <f>+K100*L100</f>
        <v/>
      </c>
      <c r="N100" s="108">
        <f>+M100*12</f>
        <v/>
      </c>
    </row>
    <row r="101">
      <c r="B101" s="6" t="inlineStr">
        <is>
          <t>Terasse</t>
        </is>
      </c>
      <c r="C101" s="32" t="n">
        <v>0</v>
      </c>
      <c r="D101" s="33" t="n">
        <v>0</v>
      </c>
      <c r="E101" s="13">
        <f>+C101*D101</f>
        <v/>
      </c>
      <c r="F101" s="89">
        <f>+E101*12</f>
        <v/>
      </c>
      <c r="G101" s="135" t="n"/>
      <c r="H101" s="62" t="n"/>
      <c r="I101" s="61" t="n"/>
      <c r="J101" s="115" t="n"/>
      <c r="K101" s="98" t="n">
        <v>0</v>
      </c>
      <c r="L101" s="33" t="n">
        <v>0</v>
      </c>
      <c r="M101" s="13">
        <f>+K101*L101</f>
        <v/>
      </c>
      <c r="N101" s="108">
        <f>+M101*12</f>
        <v/>
      </c>
    </row>
    <row r="102">
      <c r="B102" s="6" t="inlineStr">
        <is>
          <t>Keller</t>
        </is>
      </c>
      <c r="C102" s="32" t="n">
        <v>0</v>
      </c>
      <c r="D102" s="33" t="n">
        <v>0</v>
      </c>
      <c r="E102" s="13">
        <f>+C102*D102</f>
        <v/>
      </c>
      <c r="F102" s="89">
        <f>+E102*12</f>
        <v/>
      </c>
      <c r="G102" s="135" t="n"/>
      <c r="H102" s="62" t="n"/>
      <c r="I102" s="61" t="n"/>
      <c r="J102" s="115" t="n"/>
      <c r="K102" s="98" t="n">
        <v>0</v>
      </c>
      <c r="L102" s="33" t="n">
        <v>0</v>
      </c>
      <c r="M102" s="13">
        <f>+K102*L102</f>
        <v/>
      </c>
      <c r="N102" s="108">
        <f>+M102*12</f>
        <v/>
      </c>
    </row>
    <row r="103">
      <c r="B103" s="6" t="inlineStr">
        <is>
          <t>Sonstiges</t>
        </is>
      </c>
      <c r="C103" s="34" t="n">
        <v>0</v>
      </c>
      <c r="D103" s="33" t="n">
        <v>0</v>
      </c>
      <c r="E103" s="13">
        <f>+C103*D103</f>
        <v/>
      </c>
      <c r="F103" s="89">
        <f>+E103*12</f>
        <v/>
      </c>
      <c r="G103" s="136" t="n"/>
      <c r="H103" s="62" t="n"/>
      <c r="I103" s="61" t="n"/>
      <c r="J103" s="115" t="n"/>
      <c r="K103" s="99" t="n">
        <v>0</v>
      </c>
      <c r="L103" s="33" t="n">
        <v>0</v>
      </c>
      <c r="M103" s="13">
        <f>+K103*L103</f>
        <v/>
      </c>
      <c r="N103" s="108">
        <f>+M103*12</f>
        <v/>
      </c>
    </row>
    <row r="104" ht="8.25" customHeight="1">
      <c r="B104" s="14" t="n"/>
      <c r="C104" s="15" t="n"/>
      <c r="D104" s="16" t="n"/>
      <c r="E104" s="17" t="n"/>
      <c r="F104" s="17" t="n"/>
      <c r="G104" s="137" t="n"/>
      <c r="H104" s="63" t="n"/>
      <c r="I104" s="64" t="n"/>
      <c r="J104" s="116" t="n"/>
      <c r="K104" s="85" t="n"/>
      <c r="L104" s="16" t="n"/>
      <c r="M104" s="17" t="n"/>
      <c r="N104" s="109" t="n"/>
    </row>
    <row r="105" customFormat="1" s="1">
      <c r="B105" s="1" t="inlineStr">
        <is>
          <t>Summe</t>
        </is>
      </c>
      <c r="C105" s="18" t="n"/>
      <c r="D105" s="19" t="n"/>
      <c r="E105" s="20">
        <f>+SUM(E98:E104)</f>
        <v/>
      </c>
      <c r="F105" s="90">
        <f>+SUM(F98:F104)</f>
        <v/>
      </c>
      <c r="G105" s="138" t="n"/>
      <c r="H105" s="65" t="n"/>
      <c r="I105" s="66" t="n"/>
      <c r="J105" s="117" t="n"/>
      <c r="K105" s="86" t="n"/>
      <c r="L105" s="19" t="n"/>
      <c r="M105" s="20">
        <f>+SUM(M98:M104)</f>
        <v/>
      </c>
      <c r="N105" s="110">
        <f>+SUM(N98:N104)</f>
        <v/>
      </c>
    </row>
    <row r="106" ht="6.75" customHeight="1" thickBot="1">
      <c r="B106" s="7" t="n"/>
      <c r="C106" s="8" t="n"/>
      <c r="D106" s="7" t="n"/>
      <c r="E106" s="7" t="n"/>
      <c r="F106" s="7" t="n"/>
      <c r="G106" s="8" t="n"/>
      <c r="H106" s="7" t="n"/>
      <c r="I106" s="7" t="n"/>
      <c r="J106" s="104" t="n"/>
    </row>
    <row r="107">
      <c r="G107" s="121" t="n"/>
    </row>
    <row r="108">
      <c r="B108" s="11" t="inlineStr">
        <is>
          <t>Kosten gesamt</t>
        </is>
      </c>
      <c r="C108" s="12" t="inlineStr">
        <is>
          <t>Anzahl</t>
        </is>
      </c>
      <c r="D108" s="12" t="inlineStr">
        <is>
          <t>€ pro Einheit</t>
        </is>
      </c>
      <c r="E108" s="12" t="inlineStr">
        <is>
          <t>€ pro Monat</t>
        </is>
      </c>
      <c r="F108" s="12" t="inlineStr">
        <is>
          <t>€ pro Jahr</t>
        </is>
      </c>
      <c r="G108" s="127" t="inlineStr">
        <is>
          <t>Anzahl</t>
        </is>
      </c>
      <c r="H108" s="12" t="inlineStr">
        <is>
          <t>€ pro Einheit</t>
        </is>
      </c>
      <c r="I108" s="12" t="inlineStr">
        <is>
          <t>€ pro Monat</t>
        </is>
      </c>
      <c r="J108" s="107" t="inlineStr">
        <is>
          <t>€ pro Jahr</t>
        </is>
      </c>
      <c r="K108" s="12" t="inlineStr">
        <is>
          <t>Anzahl</t>
        </is>
      </c>
      <c r="L108" s="12" t="inlineStr">
        <is>
          <t>€ pro Einheit</t>
        </is>
      </c>
      <c r="M108" s="12" t="inlineStr">
        <is>
          <t>€ pro Monat</t>
        </is>
      </c>
      <c r="N108" s="107" t="inlineStr">
        <is>
          <t>€ pro Jahr</t>
        </is>
      </c>
    </row>
    <row r="109">
      <c r="B109" s="2" t="inlineStr">
        <is>
          <t>Nettokaltmiete</t>
        </is>
      </c>
      <c r="C109" s="71">
        <f>+C62+C80+C98</f>
        <v/>
      </c>
      <c r="D109" s="72">
        <f>+IFERROR(E109/C109,0)</f>
        <v/>
      </c>
      <c r="E109" s="73">
        <f>+E62+E80+E98</f>
        <v/>
      </c>
      <c r="F109" s="91">
        <f>+E109*12</f>
        <v/>
      </c>
      <c r="G109" s="71">
        <f>+G62+G80+G98</f>
        <v/>
      </c>
      <c r="H109" s="72">
        <f>+IFERROR(I109/G109,0)</f>
        <v/>
      </c>
      <c r="I109" s="73">
        <f>+I62+I80+I98</f>
        <v/>
      </c>
      <c r="J109" s="119">
        <f>+I109*12</f>
        <v/>
      </c>
      <c r="K109" s="100">
        <f>+K62+K80+K98</f>
        <v/>
      </c>
      <c r="L109" s="72">
        <f>+IFERROR(M109/K109,0)</f>
        <v/>
      </c>
      <c r="M109" s="73">
        <f>+M62+M80+M98</f>
        <v/>
      </c>
      <c r="N109" s="119">
        <f>+M109*12</f>
        <v/>
      </c>
    </row>
    <row r="110">
      <c r="B110" s="6" t="inlineStr">
        <is>
          <t>Nebenkostenpauschale</t>
        </is>
      </c>
      <c r="C110" s="71">
        <f>+C63+C81+C99</f>
        <v/>
      </c>
      <c r="D110" s="72">
        <f>+IFERROR(E110/C110,0)</f>
        <v/>
      </c>
      <c r="E110" s="73">
        <f>+E63+E81+E99</f>
        <v/>
      </c>
      <c r="F110" s="91">
        <f>+E110*12</f>
        <v/>
      </c>
      <c r="G110" s="71">
        <f>+G63+G81+G99</f>
        <v/>
      </c>
      <c r="H110" s="72">
        <f>+IFERROR(I110/G110,0)</f>
        <v/>
      </c>
      <c r="I110" s="73">
        <f>+I63+I81+I99</f>
        <v/>
      </c>
      <c r="J110" s="119">
        <f>+I110*12</f>
        <v/>
      </c>
      <c r="K110" s="100">
        <f>+K63+K81+K99</f>
        <v/>
      </c>
      <c r="L110" s="72">
        <f>+IFERROR(M110/K110,0)</f>
        <v/>
      </c>
      <c r="M110" s="73">
        <f>+M63+M81+M99</f>
        <v/>
      </c>
      <c r="N110" s="119">
        <f>+M110*12</f>
        <v/>
      </c>
    </row>
    <row r="111">
      <c r="B111" s="6" t="inlineStr">
        <is>
          <t>Stellplätze</t>
        </is>
      </c>
      <c r="C111" s="71">
        <f>+C64+C82+C100</f>
        <v/>
      </c>
      <c r="D111" s="72">
        <f>+IFERROR(E111/C111,0)</f>
        <v/>
      </c>
      <c r="E111" s="73">
        <f>+E64+E82+E100</f>
        <v/>
      </c>
      <c r="F111" s="91">
        <f>+E111*12</f>
        <v/>
      </c>
      <c r="G111" s="71">
        <f>+G64+G82+G100</f>
        <v/>
      </c>
      <c r="H111" s="72">
        <f>+IFERROR(I111/G111,0)</f>
        <v/>
      </c>
      <c r="I111" s="73">
        <f>+I64+I82+I100</f>
        <v/>
      </c>
      <c r="J111" s="119">
        <f>+I111*12</f>
        <v/>
      </c>
      <c r="K111" s="100">
        <f>+K64+K82+K100</f>
        <v/>
      </c>
      <c r="L111" s="72">
        <f>+IFERROR(M111/K111,0)</f>
        <v/>
      </c>
      <c r="M111" s="73">
        <f>+M64+M82+M100</f>
        <v/>
      </c>
      <c r="N111" s="119">
        <f>+M111*12</f>
        <v/>
      </c>
    </row>
    <row r="112">
      <c r="B112" s="6" t="inlineStr">
        <is>
          <t>Terasse</t>
        </is>
      </c>
      <c r="C112" s="71">
        <f>+C65+C83+C101</f>
        <v/>
      </c>
      <c r="D112" s="72">
        <f>+IFERROR(E112/C112,0)</f>
        <v/>
      </c>
      <c r="E112" s="73">
        <f>+E65+E83+E101</f>
        <v/>
      </c>
      <c r="F112" s="91">
        <f>+E112*12</f>
        <v/>
      </c>
      <c r="G112" s="71">
        <f>+G65+G83+G101</f>
        <v/>
      </c>
      <c r="H112" s="72">
        <f>+IFERROR(I112/G112,0)</f>
        <v/>
      </c>
      <c r="I112" s="73">
        <f>+I65+I83+I101</f>
        <v/>
      </c>
      <c r="J112" s="119">
        <f>+I112*12</f>
        <v/>
      </c>
      <c r="K112" s="100">
        <f>+K65+K83+K101</f>
        <v/>
      </c>
      <c r="L112" s="72">
        <f>+IFERROR(M112/K112,0)</f>
        <v/>
      </c>
      <c r="M112" s="73">
        <f>+M65+M83+M101</f>
        <v/>
      </c>
      <c r="N112" s="119">
        <f>+M112*12</f>
        <v/>
      </c>
    </row>
    <row r="113">
      <c r="B113" s="6" t="inlineStr">
        <is>
          <t>Keller</t>
        </is>
      </c>
      <c r="C113" s="71">
        <f>+C66+C84+C102</f>
        <v/>
      </c>
      <c r="D113" s="72">
        <f>+IFERROR(E113/C113,0)</f>
        <v/>
      </c>
      <c r="E113" s="73">
        <f>+E66+E84+E102</f>
        <v/>
      </c>
      <c r="F113" s="91">
        <f>+E113*12</f>
        <v/>
      </c>
      <c r="G113" s="71">
        <f>+G66+G84+G102</f>
        <v/>
      </c>
      <c r="H113" s="72">
        <f>+IFERROR(I113/G113,0)</f>
        <v/>
      </c>
      <c r="I113" s="73">
        <f>+I66+I84+I102</f>
        <v/>
      </c>
      <c r="J113" s="119">
        <f>+I113*12</f>
        <v/>
      </c>
      <c r="K113" s="100">
        <f>+K66+K84+K102</f>
        <v/>
      </c>
      <c r="L113" s="72">
        <f>+IFERROR(M113/K113,0)</f>
        <v/>
      </c>
      <c r="M113" s="73">
        <f>+M66+M84+M102</f>
        <v/>
      </c>
      <c r="N113" s="119">
        <f>+M113*12</f>
        <v/>
      </c>
    </row>
    <row r="114">
      <c r="B114" s="6" t="inlineStr">
        <is>
          <t>Sonstiges</t>
        </is>
      </c>
      <c r="C114" s="71">
        <f>+C67+C85+C103</f>
        <v/>
      </c>
      <c r="D114" s="72">
        <f>+IFERROR(E114/C114,0)</f>
        <v/>
      </c>
      <c r="E114" s="73">
        <f>+E67+E85+E103</f>
        <v/>
      </c>
      <c r="F114" s="91">
        <f>+E114*12</f>
        <v/>
      </c>
      <c r="G114" s="71">
        <f>+G67+G85+G103</f>
        <v/>
      </c>
      <c r="H114" s="72">
        <f>+IFERROR(I114/G114,0)</f>
        <v/>
      </c>
      <c r="I114" s="73">
        <f>+I67+I85+I103</f>
        <v/>
      </c>
      <c r="J114" s="119">
        <f>+I114*12</f>
        <v/>
      </c>
      <c r="K114" s="100">
        <f>+K67+K85+K103</f>
        <v/>
      </c>
      <c r="L114" s="72">
        <f>+IFERROR(M114/K114,0)</f>
        <v/>
      </c>
      <c r="M114" s="73">
        <f>+M67+M85+M103</f>
        <v/>
      </c>
      <c r="N114" s="119">
        <f>+M114*12</f>
        <v/>
      </c>
    </row>
    <row r="115">
      <c r="B115" s="14" t="n"/>
      <c r="C115" s="15" t="n"/>
      <c r="D115" s="16" t="n"/>
      <c r="E115" s="17" t="n"/>
      <c r="F115" s="17" t="n"/>
      <c r="G115" s="15" t="n"/>
      <c r="H115" s="16" t="n"/>
      <c r="I115" s="17" t="n"/>
      <c r="J115" s="109" t="n"/>
      <c r="K115" s="15" t="n"/>
      <c r="L115" s="16" t="n"/>
      <c r="M115" s="17" t="n"/>
      <c r="N115" s="109" t="n"/>
    </row>
    <row r="116">
      <c r="B116" s="1" t="inlineStr">
        <is>
          <t>Summe</t>
        </is>
      </c>
      <c r="C116" s="87">
        <f>C111+C110+C113</f>
        <v/>
      </c>
      <c r="D116" s="19" t="n"/>
      <c r="E116" s="20">
        <f>+SUM(E109:E115)</f>
        <v/>
      </c>
      <c r="F116" s="90">
        <f>+F69+F87+F105</f>
        <v/>
      </c>
      <c r="G116" s="18" t="n"/>
      <c r="H116" s="19" t="n"/>
      <c r="I116" s="20">
        <f>+SUM(I109:I115)</f>
        <v/>
      </c>
      <c r="J116" s="110">
        <f>+J69</f>
        <v/>
      </c>
      <c r="K116" s="18" t="n"/>
      <c r="L116" s="19" t="n"/>
      <c r="M116" s="20">
        <f>+SUM(M109:M115)</f>
        <v/>
      </c>
      <c r="N116" s="110">
        <f>+N69+N87+N105</f>
        <v/>
      </c>
      <c r="P116" s="13" t="n"/>
    </row>
    <row r="117">
      <c r="G117" s="140" t="n"/>
      <c r="H117" s="81" t="n"/>
      <c r="I117" s="81" t="n"/>
      <c r="J117" s="81" t="n"/>
      <c r="N117" s="81" t="n"/>
      <c r="O117" s="81" t="n"/>
    </row>
    <row r="118">
      <c r="G118" s="81" t="n"/>
      <c r="H118" s="81" t="n"/>
      <c r="I118" s="81" t="n"/>
      <c r="J118" s="81" t="n"/>
      <c r="M118" s="140" t="n"/>
      <c r="N118" s="81" t="n"/>
    </row>
    <row r="119">
      <c r="G119" s="81" t="n"/>
      <c r="H119" s="81" t="n"/>
      <c r="I119" s="81" t="n"/>
      <c r="J119" s="81" t="n"/>
      <c r="M119" s="140" t="n"/>
      <c r="N119" s="81" t="n"/>
    </row>
    <row r="120" hidden="1" outlineLevel="1">
      <c r="B120" s="23" t="inlineStr">
        <is>
          <t>Capex</t>
        </is>
      </c>
      <c r="C120" s="23" t="inlineStr">
        <is>
          <t>Anmerkungen</t>
        </is>
      </c>
      <c r="D120" s="24" t="n"/>
      <c r="E120" s="24" t="n"/>
      <c r="F120" s="24" t="n"/>
      <c r="G120" s="141" t="inlineStr">
        <is>
          <t>Anmerkungen</t>
        </is>
      </c>
      <c r="H120" s="142" t="n"/>
      <c r="I120" s="142" t="n"/>
      <c r="J120" s="142" t="n"/>
      <c r="K120" s="23" t="inlineStr">
        <is>
          <t>Anmerkungen</t>
        </is>
      </c>
      <c r="L120" s="24" t="n"/>
      <c r="M120" s="24" t="n"/>
      <c r="N120" s="142" t="n"/>
    </row>
    <row r="121" hidden="1" outlineLevel="1">
      <c r="B121" s="35" t="inlineStr">
        <is>
          <t>Möbel Patientenzimmer</t>
        </is>
      </c>
      <c r="C121" s="36" t="inlineStr">
        <is>
          <t>Mieter</t>
        </is>
      </c>
      <c r="D121" s="37" t="n"/>
      <c r="E121" s="38" t="n"/>
      <c r="F121" s="47" t="n">
        <v>0</v>
      </c>
      <c r="G121" s="143" t="inlineStr">
        <is>
          <t>Pflegebetten im Inventar</t>
        </is>
      </c>
      <c r="H121" s="144" t="n"/>
      <c r="I121" s="144" t="n"/>
      <c r="J121" s="144" t="n">
        <v>0</v>
      </c>
      <c r="K121" s="84" t="inlineStr">
        <is>
          <t>Übernahme aus Insolvenzmasse AirHome</t>
        </is>
      </c>
      <c r="L121" s="37" t="n"/>
      <c r="M121" s="37" t="n"/>
      <c r="N121" s="144" t="n">
        <v>0</v>
      </c>
    </row>
    <row r="122" hidden="1" outlineLevel="1">
      <c r="B122" s="35" t="inlineStr">
        <is>
          <t>Gemeinschaftsbereich</t>
        </is>
      </c>
      <c r="C122" s="25" t="inlineStr">
        <is>
          <t>Mieter</t>
        </is>
      </c>
      <c r="D122" s="39" t="n"/>
      <c r="E122" s="40" t="n"/>
      <c r="F122" s="47" t="n">
        <v>0</v>
      </c>
      <c r="G122" s="143" t="inlineStr">
        <is>
          <t>Einbauküchen, Vorhänge im Inventar</t>
        </is>
      </c>
      <c r="H122" s="144" t="n"/>
      <c r="I122" s="144" t="n"/>
      <c r="J122" s="144" t="n">
        <v>0</v>
      </c>
      <c r="K122" s="35" t="inlineStr">
        <is>
          <t>XXX</t>
        </is>
      </c>
      <c r="L122" s="39" t="n"/>
      <c r="M122" s="39" t="n"/>
      <c r="N122" s="144" t="n">
        <v>0</v>
      </c>
    </row>
    <row r="123" hidden="1" outlineLevel="1">
      <c r="B123" s="35" t="inlineStr">
        <is>
          <t>Schwesternrufanlage</t>
        </is>
      </c>
      <c r="C123" s="25" t="inlineStr">
        <is>
          <t>Mieter</t>
        </is>
      </c>
      <c r="D123" s="39" t="n"/>
      <c r="E123" s="40" t="n"/>
      <c r="F123" s="47" t="n">
        <v>0</v>
      </c>
      <c r="G123" s="143" t="inlineStr">
        <is>
          <t>vorhanden; Unterhaltung als Nebenkosten</t>
        </is>
      </c>
      <c r="H123" s="144" t="n"/>
      <c r="I123" s="144" t="n"/>
      <c r="J123" s="144" t="n">
        <v>0</v>
      </c>
      <c r="K123" s="35" t="inlineStr">
        <is>
          <t>XXX</t>
        </is>
      </c>
      <c r="L123" s="39" t="n"/>
      <c r="M123" s="39" t="n"/>
      <c r="N123" s="144" t="n">
        <v>0</v>
      </c>
    </row>
    <row r="124" hidden="1" outlineLevel="1">
      <c r="B124" s="35" t="inlineStr">
        <is>
          <t>Pflegebad</t>
        </is>
      </c>
      <c r="C124" s="25" t="inlineStr">
        <is>
          <t>XXX</t>
        </is>
      </c>
      <c r="D124" s="39" t="n"/>
      <c r="E124" s="40" t="n"/>
      <c r="F124" s="47" t="n">
        <v>0</v>
      </c>
      <c r="G124" s="143" t="inlineStr">
        <is>
          <t>XXX</t>
        </is>
      </c>
      <c r="H124" s="144" t="n"/>
      <c r="I124" s="144" t="n"/>
      <c r="J124" s="144" t="n">
        <v>0</v>
      </c>
      <c r="K124" s="35" t="inlineStr">
        <is>
          <t>XXX</t>
        </is>
      </c>
      <c r="L124" s="39" t="n"/>
      <c r="M124" s="39" t="n"/>
      <c r="N124" s="144" t="n">
        <v>0</v>
      </c>
    </row>
    <row r="125" hidden="1" outlineLevel="1">
      <c r="B125" s="35" t="inlineStr">
        <is>
          <t>Fäkalienspüle</t>
        </is>
      </c>
      <c r="C125" s="25" t="inlineStr">
        <is>
          <t>XXX</t>
        </is>
      </c>
      <c r="D125" s="39" t="n"/>
      <c r="E125" s="40" t="n"/>
      <c r="F125" s="47" t="n">
        <v>0</v>
      </c>
      <c r="G125" s="143" t="inlineStr">
        <is>
          <t>XXX</t>
        </is>
      </c>
      <c r="H125" s="144" t="n"/>
      <c r="I125" s="144" t="n"/>
      <c r="J125" s="144" t="n">
        <v>0</v>
      </c>
      <c r="K125" s="35" t="inlineStr">
        <is>
          <t>XXX</t>
        </is>
      </c>
      <c r="L125" s="39" t="n"/>
      <c r="M125" s="39" t="n"/>
      <c r="N125" s="144" t="n">
        <v>0</v>
      </c>
    </row>
    <row r="126" hidden="1" outlineLevel="1">
      <c r="B126" s="35" t="inlineStr">
        <is>
          <t>Umbaukosten</t>
        </is>
      </c>
      <c r="C126" s="25" t="inlineStr">
        <is>
          <t>Vermieter baut aus; Sonderwünsche zu Lasten Mieter</t>
        </is>
      </c>
      <c r="D126" s="39" t="n"/>
      <c r="E126" s="40" t="n"/>
      <c r="F126" s="47" t="n">
        <v>0</v>
      </c>
      <c r="G126" s="143" t="inlineStr">
        <is>
          <t>kein Umbau - laufender Betrieb übernommen</t>
        </is>
      </c>
      <c r="H126" s="144" t="n"/>
      <c r="I126" s="144" t="n"/>
      <c r="J126" s="144" t="n">
        <v>0</v>
      </c>
      <c r="K126" s="35" t="inlineStr">
        <is>
          <t>kein Ausbau geschuldet (§1.4)</t>
        </is>
      </c>
      <c r="L126" s="39" t="n"/>
      <c r="M126" s="39" t="n"/>
      <c r="N126" s="144" t="n">
        <v>0</v>
      </c>
    </row>
    <row r="127" hidden="1" outlineLevel="1">
      <c r="B127" s="35" t="inlineStr">
        <is>
          <t>IT</t>
        </is>
      </c>
      <c r="C127" s="25" t="inlineStr">
        <is>
          <t>Mieter</t>
        </is>
      </c>
      <c r="D127" s="39" t="n"/>
      <c r="E127" s="40" t="n"/>
      <c r="F127" s="47" t="n">
        <v>0</v>
      </c>
      <c r="G127" s="143" t="inlineStr">
        <is>
          <t>Mieter</t>
        </is>
      </c>
      <c r="H127" s="144" t="n"/>
      <c r="I127" s="144" t="n"/>
      <c r="J127" s="144" t="n">
        <v>0</v>
      </c>
      <c r="K127" s="35" t="inlineStr">
        <is>
          <t>XXX</t>
        </is>
      </c>
      <c r="L127" s="39" t="n"/>
      <c r="M127" s="39" t="n"/>
      <c r="N127" s="144" t="n">
        <v>0</v>
      </c>
    </row>
    <row r="128" hidden="1" outlineLevel="1">
      <c r="B128" s="35" t="inlineStr">
        <is>
          <t>Waschmaschinen</t>
        </is>
      </c>
      <c r="C128" s="25" t="inlineStr">
        <is>
          <t>XXX</t>
        </is>
      </c>
      <c r="D128" s="39" t="n"/>
      <c r="E128" s="40" t="n"/>
      <c r="F128" s="47" t="n">
        <v>0</v>
      </c>
      <c r="G128" s="143" t="inlineStr">
        <is>
          <t>XXX</t>
        </is>
      </c>
      <c r="H128" s="144" t="n"/>
      <c r="I128" s="144" t="n"/>
      <c r="J128" s="144" t="n">
        <v>0</v>
      </c>
      <c r="K128" s="35" t="inlineStr">
        <is>
          <t>XXX</t>
        </is>
      </c>
      <c r="L128" s="39" t="n"/>
      <c r="M128" s="39" t="n"/>
      <c r="N128" s="144" t="n">
        <v>0</v>
      </c>
    </row>
    <row r="129" hidden="1" outlineLevel="1">
      <c r="B129" s="35" t="inlineStr">
        <is>
          <t>[Platzhalter]</t>
        </is>
      </c>
      <c r="C129" s="25" t="inlineStr">
        <is>
          <t>XXX</t>
        </is>
      </c>
      <c r="D129" s="39" t="n"/>
      <c r="E129" s="40" t="n"/>
      <c r="F129" s="47" t="n">
        <v>0</v>
      </c>
      <c r="G129" s="143" t="inlineStr">
        <is>
          <t>XXX</t>
        </is>
      </c>
      <c r="H129" s="144" t="n"/>
      <c r="I129" s="144" t="n"/>
      <c r="J129" s="144" t="n">
        <v>0</v>
      </c>
      <c r="K129" s="35" t="inlineStr">
        <is>
          <t>XXX</t>
        </is>
      </c>
      <c r="L129" s="39" t="n"/>
      <c r="M129" s="39" t="n"/>
      <c r="N129" s="144" t="n">
        <v>0</v>
      </c>
    </row>
    <row r="130" hidden="1" outlineLevel="1">
      <c r="B130" s="35" t="inlineStr">
        <is>
          <t>[Platzhalter]</t>
        </is>
      </c>
      <c r="C130" s="25" t="inlineStr">
        <is>
          <t>XXX</t>
        </is>
      </c>
      <c r="D130" s="39" t="n"/>
      <c r="E130" s="40" t="n"/>
      <c r="F130" s="47" t="n">
        <v>0</v>
      </c>
      <c r="G130" s="143" t="inlineStr">
        <is>
          <t>XXX</t>
        </is>
      </c>
      <c r="H130" s="144" t="n"/>
      <c r="I130" s="144" t="n"/>
      <c r="J130" s="144" t="n">
        <v>0</v>
      </c>
      <c r="K130" s="35" t="inlineStr">
        <is>
          <t>XXX</t>
        </is>
      </c>
      <c r="L130" s="39" t="n"/>
      <c r="M130" s="39" t="n"/>
      <c r="N130" s="144" t="n">
        <v>0</v>
      </c>
    </row>
    <row r="131" hidden="1" outlineLevel="1">
      <c r="B131" s="35" t="inlineStr">
        <is>
          <t>[Platzhalter]</t>
        </is>
      </c>
      <c r="C131" s="25" t="inlineStr">
        <is>
          <t>XXX</t>
        </is>
      </c>
      <c r="D131" s="39" t="n"/>
      <c r="E131" s="40" t="n"/>
      <c r="F131" s="47" t="n">
        <v>0</v>
      </c>
      <c r="G131" s="143" t="inlineStr">
        <is>
          <t>XXX</t>
        </is>
      </c>
      <c r="H131" s="144" t="n"/>
      <c r="I131" s="144" t="n"/>
      <c r="J131" s="144" t="n">
        <v>0</v>
      </c>
      <c r="K131" s="35" t="inlineStr">
        <is>
          <t>XXX</t>
        </is>
      </c>
      <c r="L131" s="39" t="n"/>
      <c r="M131" s="39" t="n"/>
      <c r="N131" s="144" t="n">
        <v>0</v>
      </c>
    </row>
    <row r="132" hidden="1" outlineLevel="1" ht="8.25" customHeight="1">
      <c r="B132" s="14" t="n"/>
      <c r="C132" s="15" t="n"/>
      <c r="D132" s="16" t="n"/>
      <c r="E132" s="17" t="n"/>
      <c r="F132" s="17" t="n"/>
      <c r="G132" s="145" t="n"/>
      <c r="H132" s="146" t="n"/>
      <c r="I132" s="89" t="n"/>
      <c r="J132" s="89" t="n"/>
      <c r="M132" s="140" t="n"/>
      <c r="N132" s="81" t="n"/>
    </row>
    <row r="133" hidden="1" outlineLevel="1" customFormat="1" s="1">
      <c r="B133" s="1" t="inlineStr">
        <is>
          <t>Summe</t>
        </is>
      </c>
      <c r="C133" s="18" t="n"/>
      <c r="D133" s="19" t="n"/>
      <c r="E133" s="20" t="n"/>
      <c r="F133" s="90">
        <f>+SUM(F121:F132)</f>
        <v/>
      </c>
      <c r="G133" s="86" t="n"/>
      <c r="H133" s="82" t="n"/>
      <c r="I133" s="90" t="n"/>
      <c r="J133" s="90">
        <f>+SUM(J121:J132)</f>
        <v/>
      </c>
      <c r="K133" s="86" t="n"/>
      <c r="L133" s="82" t="n"/>
      <c r="M133" s="90" t="n"/>
      <c r="N133" s="90">
        <f>+SUM(N121:N132)</f>
        <v/>
      </c>
    </row>
    <row r="134" hidden="1" outlineLevel="1" ht="6.75" customHeight="1" thickBot="1">
      <c r="B134" s="7" t="n"/>
      <c r="C134" s="8" t="n"/>
      <c r="D134" s="7" t="n"/>
      <c r="E134" s="7" t="n"/>
      <c r="F134" s="7" t="n"/>
      <c r="G134" s="81" t="n"/>
      <c r="H134" s="81" t="n"/>
      <c r="I134" s="81" t="n"/>
      <c r="J134" s="81" t="n"/>
      <c r="M134" s="140" t="n"/>
      <c r="N134" s="81" t="n"/>
    </row>
    <row r="135" hidden="1" outlineLevel="1" ht="6.75" customHeight="1">
      <c r="G135" s="140" t="n"/>
      <c r="H135" s="81" t="n"/>
      <c r="I135" s="81" t="n"/>
      <c r="J135" s="81" t="n"/>
      <c r="M135" s="140" t="n"/>
      <c r="N135" s="81" t="n"/>
    </row>
    <row r="136" hidden="1" outlineLevel="1">
      <c r="B136" s="21" t="inlineStr">
        <is>
          <t>davon:</t>
        </is>
      </c>
      <c r="G136" s="140" t="n"/>
      <c r="H136" s="81" t="n"/>
      <c r="I136" s="81" t="n"/>
      <c r="J136" s="81" t="n"/>
      <c r="M136" s="140" t="n"/>
      <c r="N136" s="81" t="n"/>
    </row>
    <row r="137" hidden="1" outlineLevel="1">
      <c r="B137" s="22" t="inlineStr">
        <is>
          <t>Übernahme Vermieter</t>
        </is>
      </c>
      <c r="C137" s="25" t="inlineStr">
        <is>
          <t>Ausbau nach Raumbuch (liegt nicht vor)</t>
        </is>
      </c>
      <c r="D137" s="39" t="n"/>
      <c r="E137" s="40" t="n"/>
      <c r="F137" s="47" t="n">
        <v>0</v>
      </c>
      <c r="G137" s="143" t="inlineStr">
        <is>
          <t>Inventar durch Vermieterseite gestellt</t>
        </is>
      </c>
      <c r="H137" s="144" t="n"/>
      <c r="I137" s="144" t="n"/>
      <c r="J137" s="144" t="n">
        <v>0</v>
      </c>
      <c r="K137" s="35" t="inlineStr">
        <is>
          <t>Ausbau bereits für AirHome erstellt</t>
        </is>
      </c>
      <c r="L137" s="39" t="n"/>
      <c r="M137" s="39" t="n"/>
      <c r="N137" s="144" t="n">
        <v>0</v>
      </c>
    </row>
    <row r="138" hidden="1" outlineLevel="1">
      <c r="B138" s="22" t="inlineStr">
        <is>
          <t>Baukostenzuschuss Mieter</t>
        </is>
      </c>
      <c r="C138" s="25" t="inlineStr">
        <is>
          <t>600€/Monat für Statik, 1. OG</t>
        </is>
      </c>
      <c r="D138" s="39" t="n"/>
      <c r="E138" s="40" t="n"/>
      <c r="F138" s="47" t="n">
        <v>0</v>
      </c>
      <c r="G138" s="143" t="inlineStr">
        <is>
          <t>Kein BKZ</t>
        </is>
      </c>
      <c r="H138" s="144" t="n"/>
      <c r="I138" s="144" t="n"/>
      <c r="J138" s="144" t="n">
        <v>0</v>
      </c>
      <c r="K138" s="35" t="inlineStr">
        <is>
          <t>kein BKZ; Statik-Zuschlag entfällt</t>
        </is>
      </c>
      <c r="L138" s="39" t="n"/>
      <c r="M138" s="39" t="n"/>
      <c r="N138" s="144" t="n">
        <v>0</v>
      </c>
    </row>
    <row r="139" hidden="1" outlineLevel="1" ht="6.75" customHeight="1" thickBot="1">
      <c r="B139" s="7" t="n"/>
      <c r="C139" s="8" t="n"/>
      <c r="D139" s="7" t="n"/>
      <c r="E139" s="7" t="n"/>
      <c r="F139" s="7" t="n"/>
      <c r="G139" s="81" t="n"/>
      <c r="H139" s="81" t="n"/>
      <c r="I139" s="81" t="n"/>
      <c r="J139" s="81" t="n"/>
      <c r="M139" s="140" t="n"/>
      <c r="N139" s="81" t="n"/>
    </row>
    <row r="140" hidden="1" outlineLevel="1">
      <c r="G140" s="140" t="n"/>
      <c r="H140" s="81" t="n"/>
      <c r="I140" s="81" t="n"/>
      <c r="J140" s="81" t="n"/>
      <c r="M140" s="140" t="n"/>
      <c r="N140" s="81" t="n"/>
    </row>
    <row r="141" hidden="1" outlineLevel="1">
      <c r="G141" s="140" t="n"/>
      <c r="H141" s="81" t="n"/>
      <c r="I141" s="81" t="n"/>
      <c r="J141" s="81" t="n"/>
      <c r="M141" s="140" t="n"/>
      <c r="N141" s="81" t="n"/>
    </row>
    <row r="142" hidden="1" outlineLevel="1">
      <c r="B142" s="23" t="inlineStr">
        <is>
          <t>Ramp-up Kosten</t>
        </is>
      </c>
      <c r="C142" s="23" t="inlineStr">
        <is>
          <t>Anmerkungen</t>
        </is>
      </c>
      <c r="D142" s="24" t="n"/>
      <c r="E142" s="24" t="n"/>
      <c r="F142" s="24" t="n"/>
      <c r="G142" s="141" t="inlineStr">
        <is>
          <t>Anmerkungen</t>
        </is>
      </c>
      <c r="H142" s="142" t="n"/>
      <c r="I142" s="142" t="n"/>
      <c r="J142" s="142" t="n"/>
      <c r="K142" s="23" t="inlineStr">
        <is>
          <t>Anmerkungen</t>
        </is>
      </c>
      <c r="L142" s="24" t="n"/>
      <c r="M142" s="24" t="n"/>
      <c r="N142" s="142" t="n"/>
    </row>
    <row r="143" hidden="1" outlineLevel="1">
      <c r="B143" s="35" t="inlineStr">
        <is>
          <t>Betriebsmittel</t>
        </is>
      </c>
      <c r="C143" s="36" t="inlineStr">
        <is>
          <t>XXX</t>
        </is>
      </c>
      <c r="D143" s="37" t="n"/>
      <c r="E143" s="38" t="n"/>
      <c r="F143" s="47" t="n">
        <v>0</v>
      </c>
      <c r="G143" s="143" t="inlineStr">
        <is>
          <t>XXX</t>
        </is>
      </c>
      <c r="H143" s="144" t="n"/>
      <c r="I143" s="144" t="n"/>
      <c r="J143" s="144" t="n">
        <v>0</v>
      </c>
      <c r="K143" s="84" t="inlineStr">
        <is>
          <t>XXX</t>
        </is>
      </c>
      <c r="L143" s="37" t="n"/>
      <c r="M143" s="37" t="n"/>
      <c r="N143" s="144" t="n">
        <v>0</v>
      </c>
    </row>
    <row r="144" hidden="1" outlineLevel="1">
      <c r="B144" s="35" t="inlineStr">
        <is>
          <t>Werbung / Marketing</t>
        </is>
      </c>
      <c r="C144" s="25" t="inlineStr">
        <is>
          <t>XXX</t>
        </is>
      </c>
      <c r="D144" s="39" t="n"/>
      <c r="E144" s="40" t="n"/>
      <c r="F144" s="47" t="n">
        <v>0</v>
      </c>
      <c r="G144" s="143" t="inlineStr">
        <is>
          <t>XXX</t>
        </is>
      </c>
      <c r="H144" s="144" t="n"/>
      <c r="I144" s="144" t="n"/>
      <c r="J144" s="144" t="n">
        <v>0</v>
      </c>
      <c r="K144" s="35" t="inlineStr">
        <is>
          <t>XXX</t>
        </is>
      </c>
      <c r="L144" s="39" t="n"/>
      <c r="M144" s="39" t="n"/>
      <c r="N144" s="144" t="n">
        <v>0</v>
      </c>
    </row>
    <row r="145" hidden="1" outlineLevel="1">
      <c r="B145" s="35" t="inlineStr">
        <is>
          <t>Personalbeschaffung</t>
        </is>
      </c>
      <c r="C145" s="25" t="inlineStr">
        <is>
          <t>XXX</t>
        </is>
      </c>
      <c r="D145" s="39" t="n"/>
      <c r="E145" s="40" t="n"/>
      <c r="F145" s="47" t="n">
        <v>0</v>
      </c>
      <c r="G145" s="143" t="inlineStr">
        <is>
          <t>XXX</t>
        </is>
      </c>
      <c r="H145" s="144" t="n"/>
      <c r="I145" s="144" t="n"/>
      <c r="J145" s="144" t="n">
        <v>0</v>
      </c>
      <c r="K145" s="35" t="inlineStr">
        <is>
          <t>XXX</t>
        </is>
      </c>
      <c r="L145" s="39" t="n"/>
      <c r="M145" s="39" t="n"/>
      <c r="N145" s="144" t="n">
        <v>0</v>
      </c>
    </row>
    <row r="146" hidden="1" outlineLevel="1">
      <c r="B146" s="35" t="inlineStr">
        <is>
          <t>Planungskosten</t>
        </is>
      </c>
      <c r="C146" s="25" t="inlineStr">
        <is>
          <t>XXX</t>
        </is>
      </c>
      <c r="D146" s="39" t="n"/>
      <c r="E146" s="40" t="n"/>
      <c r="F146" s="47" t="n">
        <v>0</v>
      </c>
      <c r="G146" s="143" t="inlineStr">
        <is>
          <t>XXX</t>
        </is>
      </c>
      <c r="H146" s="144" t="n"/>
      <c r="I146" s="144" t="n"/>
      <c r="J146" s="144" t="n">
        <v>0</v>
      </c>
      <c r="K146" s="35" t="inlineStr">
        <is>
          <t>XXX</t>
        </is>
      </c>
      <c r="L146" s="39" t="n"/>
      <c r="M146" s="39" t="n"/>
      <c r="N146" s="144" t="n">
        <v>0</v>
      </c>
    </row>
    <row r="147" hidden="1" outlineLevel="1">
      <c r="B147" s="35" t="inlineStr">
        <is>
          <t>Makler</t>
        </is>
      </c>
      <c r="C147" s="25" t="inlineStr">
        <is>
          <t>XXX</t>
        </is>
      </c>
      <c r="D147" s="39" t="n"/>
      <c r="E147" s="40" t="n"/>
      <c r="F147" s="47" t="n">
        <v>0</v>
      </c>
      <c r="G147" s="143" t="inlineStr">
        <is>
          <t>XXX</t>
        </is>
      </c>
      <c r="H147" s="144" t="n"/>
      <c r="I147" s="144" t="n"/>
      <c r="J147" s="144" t="n">
        <v>0</v>
      </c>
      <c r="K147" s="35" t="inlineStr">
        <is>
          <t>XXX</t>
        </is>
      </c>
      <c r="L147" s="39" t="n"/>
      <c r="M147" s="39" t="n"/>
      <c r="N147" s="144" t="n">
        <v>0</v>
      </c>
    </row>
    <row r="148" hidden="1" outlineLevel="1">
      <c r="B148" s="35" t="inlineStr">
        <is>
          <t>[Platzhalter]</t>
        </is>
      </c>
      <c r="C148" s="25" t="inlineStr">
        <is>
          <t>XXX</t>
        </is>
      </c>
      <c r="D148" s="39" t="n"/>
      <c r="E148" s="40" t="n"/>
      <c r="F148" s="47" t="n">
        <v>0</v>
      </c>
      <c r="G148" s="143" t="inlineStr">
        <is>
          <t>XXX</t>
        </is>
      </c>
      <c r="H148" s="144" t="n"/>
      <c r="I148" s="144" t="n"/>
      <c r="J148" s="144" t="n">
        <v>0</v>
      </c>
      <c r="K148" s="35" t="inlineStr">
        <is>
          <t>XXX</t>
        </is>
      </c>
      <c r="L148" s="39" t="n"/>
      <c r="M148" s="39" t="n"/>
      <c r="N148" s="144" t="n">
        <v>0</v>
      </c>
    </row>
    <row r="149" hidden="1" outlineLevel="1">
      <c r="B149" s="35" t="inlineStr">
        <is>
          <t>[Platzhalter]</t>
        </is>
      </c>
      <c r="C149" s="25" t="inlineStr">
        <is>
          <t>XXX</t>
        </is>
      </c>
      <c r="D149" s="39" t="n"/>
      <c r="E149" s="40" t="n"/>
      <c r="F149" s="47" t="n">
        <v>0</v>
      </c>
      <c r="G149" s="143" t="inlineStr">
        <is>
          <t>XXX</t>
        </is>
      </c>
      <c r="H149" s="144" t="n"/>
      <c r="I149" s="144" t="n"/>
      <c r="J149" s="144" t="n">
        <v>0</v>
      </c>
      <c r="K149" s="35" t="inlineStr">
        <is>
          <t>XXX</t>
        </is>
      </c>
      <c r="L149" s="39" t="n"/>
      <c r="M149" s="39" t="n"/>
      <c r="N149" s="144" t="n">
        <v>0</v>
      </c>
    </row>
    <row r="150" hidden="1" outlineLevel="1">
      <c r="B150" s="35" t="inlineStr">
        <is>
          <t>[Platzhalter]</t>
        </is>
      </c>
      <c r="C150" s="25" t="inlineStr">
        <is>
          <t>XXX</t>
        </is>
      </c>
      <c r="D150" s="39" t="n"/>
      <c r="E150" s="40" t="n"/>
      <c r="F150" s="47" t="n">
        <v>0</v>
      </c>
      <c r="G150" s="143" t="inlineStr">
        <is>
          <t>XXX</t>
        </is>
      </c>
      <c r="H150" s="144" t="n"/>
      <c r="I150" s="144" t="n"/>
      <c r="J150" s="144" t="n">
        <v>0</v>
      </c>
      <c r="K150" s="35" t="inlineStr">
        <is>
          <t>XXX</t>
        </is>
      </c>
      <c r="L150" s="39" t="n"/>
      <c r="M150" s="39" t="n"/>
      <c r="N150" s="144" t="n">
        <v>0</v>
      </c>
    </row>
    <row r="151" hidden="1" outlineLevel="1">
      <c r="B151" s="35" t="inlineStr">
        <is>
          <t>[Platzhalter]</t>
        </is>
      </c>
      <c r="C151" s="25" t="inlineStr">
        <is>
          <t>XXX</t>
        </is>
      </c>
      <c r="D151" s="39" t="n"/>
      <c r="E151" s="40" t="n"/>
      <c r="F151" s="47" t="n">
        <v>0</v>
      </c>
      <c r="G151" s="143" t="inlineStr">
        <is>
          <t>XXX</t>
        </is>
      </c>
      <c r="H151" s="144" t="n"/>
      <c r="I151" s="144" t="n"/>
      <c r="J151" s="144" t="n">
        <v>0</v>
      </c>
      <c r="K151" s="35" t="inlineStr">
        <is>
          <t>XXX</t>
        </is>
      </c>
      <c r="L151" s="39" t="n"/>
      <c r="M151" s="39" t="n"/>
      <c r="N151" s="144" t="n">
        <v>0</v>
      </c>
    </row>
    <row r="152" hidden="1" outlineLevel="1">
      <c r="B152" s="35" t="inlineStr">
        <is>
          <t>[Platzhalter]</t>
        </is>
      </c>
      <c r="C152" s="25" t="inlineStr">
        <is>
          <t>XXX</t>
        </is>
      </c>
      <c r="D152" s="39" t="n"/>
      <c r="E152" s="40" t="n"/>
      <c r="F152" s="47" t="n">
        <v>0</v>
      </c>
      <c r="G152" s="143" t="inlineStr">
        <is>
          <t>XXX</t>
        </is>
      </c>
      <c r="H152" s="144" t="n"/>
      <c r="I152" s="144" t="n"/>
      <c r="J152" s="144" t="n">
        <v>0</v>
      </c>
      <c r="K152" s="35" t="inlineStr">
        <is>
          <t>XXX</t>
        </is>
      </c>
      <c r="L152" s="39" t="n"/>
      <c r="M152" s="39" t="n"/>
      <c r="N152" s="144" t="n">
        <v>0</v>
      </c>
    </row>
    <row r="153" hidden="1" outlineLevel="1" ht="8.25" customHeight="1">
      <c r="B153" s="14" t="n"/>
      <c r="C153" s="15" t="n"/>
      <c r="D153" s="16" t="n"/>
      <c r="E153" s="17" t="n"/>
      <c r="F153" s="17" t="n"/>
      <c r="G153" s="145" t="n"/>
      <c r="H153" s="146" t="n"/>
      <c r="I153" s="89" t="n"/>
      <c r="J153" s="89" t="n"/>
      <c r="K153" s="85" t="inlineStr">
        <is>
          <t>XXX</t>
        </is>
      </c>
      <c r="L153" s="16" t="n"/>
      <c r="M153" s="17" t="n"/>
      <c r="N153" s="89" t="n">
        <v>0</v>
      </c>
    </row>
    <row r="154" hidden="1" outlineLevel="1" customFormat="1" s="1">
      <c r="B154" s="1" t="inlineStr">
        <is>
          <t>Summe</t>
        </is>
      </c>
      <c r="C154" s="18" t="n"/>
      <c r="D154" s="19" t="n"/>
      <c r="E154" s="20" t="n"/>
      <c r="F154" s="90">
        <f>+SUM(F143:F153)</f>
        <v/>
      </c>
      <c r="G154" s="86" t="n"/>
      <c r="H154" s="82" t="n"/>
      <c r="I154" s="90" t="n"/>
      <c r="J154" s="90">
        <f>+SUM(J143:J153)</f>
        <v/>
      </c>
      <c r="K154" s="86" t="n"/>
      <c r="L154" s="82" t="n"/>
      <c r="M154" s="90" t="n"/>
      <c r="N154" s="90">
        <f>+SUM(N143:N153)</f>
        <v/>
      </c>
    </row>
    <row r="155" hidden="1" outlineLevel="1" ht="6.75" customHeight="1">
      <c r="G155" s="81" t="n"/>
      <c r="H155" s="81" t="n"/>
      <c r="I155" s="81" t="n"/>
      <c r="J155" s="81" t="n"/>
      <c r="M155" s="140" t="n"/>
      <c r="N155" s="81" t="n"/>
    </row>
    <row r="156" hidden="1" outlineLevel="1">
      <c r="G156" s="81" t="n"/>
      <c r="H156" s="81" t="n"/>
      <c r="I156" s="81" t="n"/>
      <c r="J156" s="81" t="n"/>
      <c r="M156" s="140" t="n"/>
      <c r="N156" s="81" t="n"/>
    </row>
    <row r="157" collapsed="1">
      <c r="G157" s="81" t="n"/>
      <c r="H157" s="81" t="n"/>
      <c r="I157" s="81" t="n"/>
      <c r="J157" s="81" t="n"/>
      <c r="M157" s="140" t="n"/>
      <c r="N157" s="81" t="n"/>
    </row>
    <row r="158">
      <c r="B158" s="54" t="inlineStr">
        <is>
          <t>Berechnung Indexklausel – Stand 08/2026, Referenzindex 07/2026; Forderung Vermieter 14,95 €/qm</t>
        </is>
      </c>
      <c r="G158" s="140" t="n"/>
      <c r="H158" s="81" t="n"/>
      <c r="I158" s="81" t="n"/>
      <c r="J158" s="81" t="n"/>
      <c r="M158" s="140" t="n"/>
      <c r="N158" s="81" t="n"/>
    </row>
    <row r="159">
      <c r="B159" s="6" t="n"/>
      <c r="C159" s="68" t="n"/>
      <c r="G159" s="81" t="n"/>
      <c r="H159" s="81" t="n"/>
      <c r="I159" s="81" t="n"/>
      <c r="J159" s="81" t="n"/>
      <c r="M159" s="140" t="n"/>
      <c r="N159" s="81" t="n"/>
    </row>
    <row r="160">
      <c r="B160" s="74" t="inlineStr">
        <is>
          <t>Referenzwerte VPI Deutschland (Destatis, Basis 2020 = 100)</t>
        </is>
      </c>
      <c r="C160" s="68" t="n"/>
      <c r="G160" s="81" t="n"/>
      <c r="H160" s="81" t="n"/>
      <c r="I160" s="81" t="n"/>
      <c r="J160" s="81" t="n"/>
      <c r="M160" s="140" t="n"/>
      <c r="N160" s="81" t="n"/>
    </row>
    <row r="161">
      <c r="B161" s="75" t="inlineStr">
        <is>
          <t>VPI 04/2021 – Basis: Flächen 2./3. + 4. OG, 9 Stellplätze</t>
        </is>
      </c>
      <c r="C161" s="178" t="n">
        <v>102.4</v>
      </c>
      <c r="G161" s="81" t="n"/>
      <c r="H161" s="81" t="n"/>
      <c r="I161" s="81" t="n"/>
      <c r="J161" s="81" t="n"/>
      <c r="M161" s="140" t="n"/>
      <c r="N161" s="81" t="n"/>
    </row>
    <row r="162">
      <c r="B162" s="75" t="inlineStr">
        <is>
          <t>VPI 04/2022 – Basis: Keller Nr. 09, 2 Stellplätze</t>
        </is>
      </c>
      <c r="C162" s="178" t="n">
        <v>108.8</v>
      </c>
      <c r="G162" s="81" t="n"/>
      <c r="H162" s="81" t="n"/>
      <c r="I162" s="81" t="n"/>
      <c r="J162" s="81" t="n"/>
      <c r="M162" s="140" t="n"/>
      <c r="N162" s="81" t="n"/>
    </row>
    <row r="163">
      <c r="B163" s="75" t="inlineStr">
        <is>
          <t>VPI 04/2023 – Basis: Keller 70 qm</t>
        </is>
      </c>
      <c r="C163" s="178" t="n">
        <v>116.6</v>
      </c>
      <c r="G163" s="81" t="n"/>
      <c r="H163" s="81" t="n"/>
      <c r="I163" s="81" t="n"/>
      <c r="J163" s="81" t="n"/>
      <c r="M163" s="140" t="n"/>
      <c r="N163" s="81" t="n"/>
    </row>
    <row r="164">
      <c r="B164" s="75" t="inlineStr">
        <is>
          <t>VPI 10/2023 – Basis: 1. OG, 3 Stellplätze</t>
        </is>
      </c>
      <c r="C164" s="178" t="n">
        <v>117.8</v>
      </c>
      <c r="G164" s="81" t="n"/>
      <c r="H164" s="81" t="n"/>
      <c r="I164" s="81" t="n"/>
      <c r="J164" s="81" t="n"/>
      <c r="M164" s="140" t="n"/>
      <c r="N164" s="81" t="n"/>
    </row>
    <row r="165">
      <c r="B165" s="75" t="inlineStr">
        <is>
          <t>VPI Referenzmonat – 07/2026 = 125,6 (aktuellster Stand); 04/2025 = 121,7</t>
        </is>
      </c>
      <c r="C165" s="178" t="n">
        <v>125.6</v>
      </c>
      <c r="G165" s="81" t="n"/>
      <c r="H165" s="81" t="n"/>
      <c r="I165" s="81" t="n"/>
      <c r="J165" s="81" t="n"/>
      <c r="M165" s="140" t="n"/>
      <c r="N165" s="81" t="n"/>
    </row>
    <row r="166">
      <c r="B166" s="151" t="n"/>
      <c r="C166" s="152" t="n"/>
      <c r="D166" s="81" t="n"/>
      <c r="E166" s="81" t="n"/>
      <c r="G166" s="81" t="n"/>
      <c r="H166" s="81" t="n"/>
      <c r="I166" s="81" t="n"/>
      <c r="J166" s="81" t="n"/>
      <c r="M166" s="140" t="n"/>
      <c r="N166" s="81" t="n"/>
    </row>
    <row r="167">
      <c r="B167" s="162" t="inlineStr">
        <is>
          <t>Position</t>
        </is>
      </c>
      <c r="C167" s="161" t="inlineStr">
        <is>
          <t>Menge</t>
        </is>
      </c>
      <c r="D167" s="161" t="inlineStr">
        <is>
          <t>alt € / Einheit</t>
        </is>
      </c>
      <c r="E167" s="161" t="inlineStr">
        <is>
          <t>Basis-VPI</t>
        </is>
      </c>
      <c r="F167" s="161" t="inlineStr">
        <is>
          <t>Indexveränderung</t>
        </is>
      </c>
      <c r="G167" s="161" t="inlineStr">
        <is>
          <t>zulässig € / Einheit</t>
        </is>
      </c>
      <c r="H167" s="161" t="inlineStr">
        <is>
          <t xml:space="preserve">alt € </t>
        </is>
      </c>
      <c r="I167" s="161" t="inlineStr">
        <is>
          <t>neu €</t>
        </is>
      </c>
      <c r="J167" s="161" t="inlineStr">
        <is>
          <t>Differenz €</t>
        </is>
      </c>
      <c r="M167" s="140" t="n"/>
      <c r="N167" s="81" t="n"/>
    </row>
    <row r="168">
      <c r="B168" s="153" t="inlineStr">
        <is>
          <t>Flächen 2./3. OG</t>
        </is>
      </c>
      <c r="C168" s="154" t="n">
        <v>695.28</v>
      </c>
      <c r="D168" s="155" t="n">
        <v>12.5</v>
      </c>
      <c r="E168" s="179">
        <f>+$C$161</f>
        <v/>
      </c>
      <c r="F168" s="157">
        <f>+$C$165/E168-1</f>
        <v/>
      </c>
      <c r="G168" s="158">
        <f>+IF(F168&gt;0.05,D168*(1+F168),D168)</f>
        <v/>
      </c>
      <c r="H168" s="159">
        <f>+C168*D168</f>
        <v/>
      </c>
      <c r="I168" s="158">
        <f>+C168*G168</f>
        <v/>
      </c>
      <c r="J168" s="160">
        <f>+I168-H168</f>
        <v/>
      </c>
      <c r="M168" s="140" t="n"/>
      <c r="N168" s="81" t="n"/>
    </row>
    <row r="169">
      <c r="B169" s="75" t="inlineStr">
        <is>
          <t>Fläche 4. OG</t>
        </is>
      </c>
      <c r="C169" s="76" t="n">
        <v>59</v>
      </c>
      <c r="D169" s="68" t="n">
        <v>12.5</v>
      </c>
      <c r="E169" s="180">
        <f>+$C$161</f>
        <v/>
      </c>
      <c r="F169" s="78">
        <f>+$C$165/E169-1</f>
        <v/>
      </c>
      <c r="G169" s="70">
        <f>+IF(F169&gt;0.05,D169*(1+F169),D169)</f>
        <v/>
      </c>
      <c r="H169" s="83">
        <f>+C169*D169</f>
        <v/>
      </c>
      <c r="I169" s="70">
        <f>+C169*G169</f>
        <v/>
      </c>
      <c r="J169" s="120">
        <f>+I169-H169</f>
        <v/>
      </c>
      <c r="M169" s="140" t="n"/>
      <c r="N169" s="81" t="n"/>
    </row>
    <row r="170">
      <c r="B170" s="75" t="inlineStr">
        <is>
          <t>Fläche 1. OG</t>
        </is>
      </c>
      <c r="C170" s="76" t="n">
        <v>350.32</v>
      </c>
      <c r="D170" s="68" t="n">
        <v>12.5</v>
      </c>
      <c r="E170" s="180">
        <f>+$C$164</f>
        <v/>
      </c>
      <c r="F170" s="78">
        <f>+$C$165/E170-1</f>
        <v/>
      </c>
      <c r="G170" s="70">
        <f>+IF(F170&gt;0.05,D170*(1+F170),D170)</f>
        <v/>
      </c>
      <c r="H170" s="83">
        <f>+C170*D170</f>
        <v/>
      </c>
      <c r="I170" s="70">
        <f>+C170*G170</f>
        <v/>
      </c>
      <c r="J170" s="120">
        <f>+I170-H170</f>
        <v/>
      </c>
      <c r="M170" s="140" t="n"/>
      <c r="N170" s="81" t="n"/>
    </row>
    <row r="171">
      <c r="B171" s="75" t="inlineStr">
        <is>
          <t>Keller Nr. 09</t>
        </is>
      </c>
      <c r="C171" s="76" t="n">
        <v>18.65</v>
      </c>
      <c r="D171" s="68" t="n">
        <v>5</v>
      </c>
      <c r="E171" s="180">
        <f>+$C$162</f>
        <v/>
      </c>
      <c r="F171" s="78">
        <f>+$C$165/E171-1</f>
        <v/>
      </c>
      <c r="G171" s="70">
        <f>+IF(F171&gt;0.05,D171*(1+F171),D171)</f>
        <v/>
      </c>
      <c r="H171" s="83">
        <f>+C171*D171</f>
        <v/>
      </c>
      <c r="I171" s="70">
        <f>+C171*G171</f>
        <v/>
      </c>
      <c r="J171" s="120">
        <f>+I171-H171</f>
        <v/>
      </c>
      <c r="M171" s="140" t="n"/>
      <c r="N171" s="81" t="n"/>
    </row>
    <row r="172">
      <c r="B172" s="75" t="inlineStr">
        <is>
          <t>Keller 70 qm</t>
        </is>
      </c>
      <c r="C172" s="76" t="n">
        <v>70</v>
      </c>
      <c r="D172" s="68" t="n">
        <v>5</v>
      </c>
      <c r="E172" s="180">
        <f>+$C$163</f>
        <v/>
      </c>
      <c r="F172" s="78">
        <f>+$C$165/E172-1</f>
        <v/>
      </c>
      <c r="G172" s="70">
        <f>+IF(F172&gt;0.05,D172*(1+F172),D172)</f>
        <v/>
      </c>
      <c r="H172" s="83">
        <f>+C172*D172</f>
        <v/>
      </c>
      <c r="I172" s="70">
        <f>+C172*G172</f>
        <v/>
      </c>
      <c r="J172" s="120">
        <f>+I172-H172</f>
        <v/>
      </c>
      <c r="M172" s="140" t="n"/>
      <c r="N172" s="81" t="n"/>
    </row>
    <row r="173">
      <c r="B173" s="75" t="inlineStr">
        <is>
          <t>Stellplätze (ab 04/2021)</t>
        </is>
      </c>
      <c r="C173" s="76" t="n">
        <v>9</v>
      </c>
      <c r="D173" s="68" t="n">
        <v>40</v>
      </c>
      <c r="E173" s="180">
        <f>+$C$161</f>
        <v/>
      </c>
      <c r="F173" s="78">
        <f>+$C$165/E173-1</f>
        <v/>
      </c>
      <c r="G173" s="70">
        <f>+IF(F173&gt;0.05,D173*(1+F173),D173)</f>
        <v/>
      </c>
      <c r="H173" s="83">
        <f>+C173*D173</f>
        <v/>
      </c>
      <c r="I173" s="70">
        <f>+C173*G173</f>
        <v/>
      </c>
      <c r="J173" s="120">
        <f>+I173-H173</f>
        <v/>
      </c>
      <c r="M173" s="140" t="n"/>
      <c r="N173" s="81" t="n"/>
    </row>
    <row r="174">
      <c r="B174" s="75" t="inlineStr">
        <is>
          <t>Stellplätze (ab 04/2022)</t>
        </is>
      </c>
      <c r="C174" s="76" t="n">
        <v>2</v>
      </c>
      <c r="D174" s="68" t="n">
        <v>60</v>
      </c>
      <c r="E174" s="180">
        <f>+$C$162</f>
        <v/>
      </c>
      <c r="F174" s="78">
        <f>+$C$165/E174-1</f>
        <v/>
      </c>
      <c r="G174" s="70">
        <f>+IF(F174&gt;0.05,D174*(1+F174),D174)</f>
        <v/>
      </c>
      <c r="H174" s="83">
        <f>+C174*D174</f>
        <v/>
      </c>
      <c r="I174" s="70">
        <f>+C174*G174</f>
        <v/>
      </c>
      <c r="J174" s="120">
        <f>+I174-H174</f>
        <v/>
      </c>
      <c r="M174" s="140" t="n"/>
      <c r="N174" s="81" t="n"/>
    </row>
    <row r="175">
      <c r="B175" s="75" t="inlineStr">
        <is>
          <t>Stellplätze (ab 10/2023)</t>
        </is>
      </c>
      <c r="C175" s="76" t="n">
        <v>3</v>
      </c>
      <c r="D175" s="68" t="n">
        <v>60</v>
      </c>
      <c r="E175" s="180">
        <f>+$C$164</f>
        <v/>
      </c>
      <c r="F175" s="78">
        <f>+$C$165/E175-1</f>
        <v/>
      </c>
      <c r="G175" s="70">
        <f>+IF(F175&gt;0.05,D175*(1+F175),D175)</f>
        <v/>
      </c>
      <c r="H175" s="83">
        <f>+C175*D175</f>
        <v/>
      </c>
      <c r="I175" s="70">
        <f>+C175*G175</f>
        <v/>
      </c>
      <c r="J175" s="120">
        <f>+I175-H175</f>
        <v/>
      </c>
      <c r="M175" s="140" t="n"/>
      <c r="N175" s="81" t="n"/>
    </row>
    <row r="176">
      <c r="B176" s="79" t="inlineStr">
        <is>
          <t>Summe</t>
        </is>
      </c>
      <c r="F176" s="147">
        <f>+IFERROR(I176/H176-1,"")</f>
        <v/>
      </c>
      <c r="H176" s="148">
        <f>+SUM(H168:H175)</f>
        <v/>
      </c>
      <c r="I176" s="149">
        <f>+SUM(I168:I175)</f>
        <v/>
      </c>
      <c r="J176" s="150">
        <f>+SUM(J168:J175)</f>
        <v/>
      </c>
      <c r="M176" s="140" t="n"/>
      <c r="N176" s="81" t="n"/>
    </row>
    <row r="177">
      <c r="G177" s="81" t="n"/>
      <c r="H177" s="81" t="n"/>
      <c r="I177" s="81" t="n"/>
      <c r="J177" s="81" t="n"/>
      <c r="M177" s="140" t="n"/>
      <c r="N177" s="81" t="n"/>
    </row>
    <row r="178">
      <c r="G178" s="81" t="n"/>
      <c r="H178" s="81" t="n"/>
      <c r="I178" s="81" t="n"/>
      <c r="J178" s="81" t="n"/>
      <c r="M178" s="140" t="n"/>
      <c r="N178" s="81" t="n"/>
    </row>
    <row r="179">
      <c r="B179" s="75" t="inlineStr">
        <is>
          <t>einheitlicher Satz über alle Mietflächen (€/qm)</t>
        </is>
      </c>
      <c r="C179" s="80">
        <f>+(I168+I169+I170)/(C168+C169+C170)</f>
        <v/>
      </c>
      <c r="G179" s="81" t="n"/>
      <c r="H179" s="81" t="n"/>
      <c r="I179" s="81" t="n"/>
      <c r="J179" s="81" t="n"/>
      <c r="M179" s="140" t="n"/>
      <c r="N179" s="81" t="n"/>
    </row>
    <row r="180">
      <c r="B180" s="75" t="inlineStr">
        <is>
          <t>Forderung Vermieter (€/qm)</t>
        </is>
      </c>
      <c r="C180" s="68" t="n">
        <v>14.95</v>
      </c>
      <c r="G180" s="81" t="n"/>
      <c r="H180" s="81" t="n"/>
      <c r="I180" s="81" t="n"/>
      <c r="J180" s="81" t="n"/>
      <c r="M180" s="140" t="n"/>
      <c r="N180" s="81" t="n"/>
    </row>
    <row r="181">
      <c r="B181" s="75" t="inlineStr">
        <is>
          <t>implizite Erhöhung gegenüber 12,50 €</t>
        </is>
      </c>
      <c r="C181" s="78">
        <f>+C180/D168-1</f>
        <v/>
      </c>
      <c r="G181" s="81" t="n"/>
      <c r="H181" s="81" t="n"/>
      <c r="I181" s="81" t="n"/>
      <c r="J181" s="81" t="n"/>
      <c r="M181" s="140" t="n"/>
      <c r="N181" s="81" t="n"/>
    </row>
    <row r="182" ht="15.75" customHeight="1">
      <c r="B182" s="75" t="inlineStr">
        <is>
          <t>Nettokaltmiete Flächen nach Forderung (€/Monat)</t>
        </is>
      </c>
      <c r="C182" s="70">
        <f>+(C168+C169+C170)*C180</f>
        <v/>
      </c>
      <c r="G182" s="81" t="n"/>
      <c r="H182" s="81" t="n"/>
      <c r="I182" s="81" t="n"/>
      <c r="J182" s="81" t="n"/>
      <c r="M182" s="140" t="n"/>
      <c r="N182" s="81" t="n"/>
    </row>
    <row r="183">
      <c r="B183" s="75" t="inlineStr">
        <is>
          <t>davon nicht gedeckt (€/Monat)</t>
        </is>
      </c>
      <c r="C183" s="80">
        <f>+C182-(I168+I169+I170)</f>
        <v/>
      </c>
      <c r="G183" s="81" t="n"/>
      <c r="H183" s="81" t="n"/>
      <c r="I183" s="81" t="n"/>
      <c r="J183" s="81" t="n"/>
      <c r="M183" s="140" t="n"/>
      <c r="N183" s="81" t="n"/>
    </row>
    <row r="184">
      <c r="G184" s="81" t="n"/>
      <c r="H184" s="81" t="n"/>
      <c r="I184" s="81" t="n"/>
      <c r="J184" s="81" t="n"/>
      <c r="M184" s="140" t="n"/>
      <c r="N184" s="81" t="n"/>
    </row>
    <row r="185">
      <c r="G185" s="81" t="n"/>
      <c r="H185" s="81" t="n"/>
      <c r="I185" s="81" t="n"/>
      <c r="J185" s="81" t="n"/>
      <c r="M185" s="140" t="n"/>
      <c r="N185" s="81" t="n"/>
    </row>
    <row r="186">
      <c r="G186" s="81" t="n"/>
      <c r="H186" s="81" t="n"/>
      <c r="I186" s="81" t="n"/>
      <c r="J186" s="81" t="n"/>
      <c r="M186" s="140" t="n"/>
      <c r="N186" s="81" t="n"/>
    </row>
    <row r="187" ht="15.75" customHeight="1">
      <c r="G187" s="81" t="n"/>
      <c r="H187" s="81" t="n"/>
      <c r="I187" s="81" t="n"/>
      <c r="J187" s="81" t="n"/>
      <c r="M187" s="140" t="n"/>
      <c r="N187" s="81" t="n"/>
    </row>
    <row r="188">
      <c r="G188" s="81" t="n"/>
      <c r="H188" s="81" t="n"/>
      <c r="I188" s="81" t="n"/>
      <c r="J188" s="81" t="n"/>
      <c r="M188" s="140" t="n"/>
      <c r="N188" s="81" t="n"/>
    </row>
    <row r="189">
      <c r="G189" s="81" t="n"/>
      <c r="H189" s="81" t="n"/>
      <c r="I189" s="81" t="n"/>
      <c r="J189" s="81" t="n"/>
      <c r="M189" s="140" t="n"/>
      <c r="N189" s="81" t="n"/>
    </row>
    <row r="190">
      <c r="G190" s="81" t="n"/>
      <c r="H190" s="81" t="n"/>
      <c r="I190" s="81" t="n"/>
      <c r="J190" s="81" t="n"/>
      <c r="M190" s="140" t="n"/>
      <c r="N190" s="81" t="n"/>
    </row>
    <row r="191">
      <c r="G191" s="81" t="n"/>
      <c r="H191" s="81" t="n"/>
      <c r="I191" s="81" t="n"/>
      <c r="J191" s="81" t="n"/>
      <c r="M191" s="140" t="n"/>
      <c r="N191" s="81" t="n"/>
    </row>
    <row r="192">
      <c r="G192" s="81" t="n"/>
      <c r="H192" s="81" t="n"/>
      <c r="I192" s="81" t="n"/>
      <c r="J192" s="81" t="n"/>
      <c r="M192" s="140" t="n"/>
      <c r="N192" s="81" t="n"/>
    </row>
    <row r="193">
      <c r="G193" s="81" t="n"/>
      <c r="H193" s="81" t="n"/>
      <c r="I193" s="81" t="n"/>
      <c r="J193" s="81" t="n"/>
      <c r="M193" s="140" t="n"/>
      <c r="N193" s="81" t="n"/>
    </row>
    <row r="194">
      <c r="G194" s="81" t="n"/>
      <c r="H194" s="81" t="n"/>
      <c r="I194" s="81" t="n"/>
      <c r="J194" s="81" t="n"/>
      <c r="M194" s="140" t="n"/>
      <c r="N194" s="81" t="n"/>
    </row>
    <row r="195">
      <c r="G195" s="81" t="n"/>
      <c r="H195" s="81" t="n"/>
      <c r="I195" s="81" t="n"/>
      <c r="J195" s="81" t="n"/>
      <c r="M195" s="140" t="n"/>
      <c r="N195" s="81" t="n"/>
    </row>
    <row r="196">
      <c r="G196" s="81" t="n"/>
      <c r="H196" s="81" t="n"/>
      <c r="I196" s="81" t="n"/>
      <c r="J196" s="81" t="n"/>
      <c r="M196" s="140" t="n"/>
      <c r="N196" s="81" t="n"/>
    </row>
    <row r="197">
      <c r="G197" s="81" t="n"/>
      <c r="H197" s="81" t="n"/>
      <c r="I197" s="81" t="n"/>
      <c r="J197" s="81" t="n"/>
      <c r="M197" s="140" t="n"/>
      <c r="N197" s="81" t="n"/>
    </row>
    <row r="198">
      <c r="G198" s="81" t="n"/>
      <c r="H198" s="81" t="n"/>
      <c r="I198" s="81" t="n"/>
      <c r="J198" s="81" t="n"/>
      <c r="M198" s="140" t="n"/>
      <c r="N198" s="81" t="n"/>
    </row>
    <row r="199">
      <c r="G199" s="81" t="n"/>
      <c r="H199" s="81" t="n"/>
      <c r="I199" s="81" t="n"/>
      <c r="J199" s="81" t="n"/>
      <c r="M199" s="140" t="n"/>
      <c r="N199" s="81" t="n"/>
    </row>
    <row r="200">
      <c r="G200" s="81" t="n"/>
      <c r="H200" s="81" t="n"/>
      <c r="I200" s="81" t="n"/>
      <c r="J200" s="81" t="n"/>
      <c r="M200" s="140" t="n"/>
      <c r="N200" s="81" t="n"/>
    </row>
    <row r="201">
      <c r="G201" s="81" t="n"/>
      <c r="H201" s="81" t="n"/>
      <c r="I201" s="81" t="n"/>
      <c r="J201" s="81" t="n"/>
      <c r="M201" s="140" t="n"/>
      <c r="N201" s="81" t="n"/>
    </row>
    <row r="202">
      <c r="G202" s="81" t="n"/>
      <c r="H202" s="81" t="n"/>
      <c r="I202" s="81" t="n"/>
      <c r="J202" s="81" t="n"/>
      <c r="M202" s="140" t="n"/>
      <c r="N202" s="81" t="n"/>
    </row>
    <row r="203" ht="15.75" customHeight="1">
      <c r="G203" s="81" t="n"/>
      <c r="H203" s="81" t="n"/>
      <c r="I203" s="81" t="n"/>
      <c r="J203" s="81" t="n"/>
      <c r="M203" s="140" t="n"/>
      <c r="N203" s="81" t="n"/>
    </row>
    <row r="204">
      <c r="G204" s="81" t="n"/>
      <c r="H204" s="81" t="n"/>
      <c r="I204" s="81" t="n"/>
      <c r="J204" s="81" t="n"/>
      <c r="M204" s="140" t="n"/>
      <c r="N204" s="81" t="n"/>
    </row>
    <row r="205">
      <c r="G205" s="81" t="n"/>
      <c r="H205" s="81" t="n"/>
      <c r="I205" s="81" t="n"/>
      <c r="J205" s="81" t="n"/>
      <c r="M205" s="140" t="n"/>
      <c r="N205" s="81" t="n"/>
    </row>
    <row r="206">
      <c r="G206" s="81" t="n"/>
      <c r="H206" s="81" t="n"/>
      <c r="I206" s="81" t="n"/>
      <c r="J206" s="81" t="n"/>
      <c r="M206" s="140" t="n"/>
      <c r="N206" s="81" t="n"/>
    </row>
    <row r="207">
      <c r="G207" s="81" t="n"/>
      <c r="H207" s="81" t="n"/>
      <c r="I207" s="81" t="n"/>
      <c r="J207" s="81" t="n"/>
      <c r="M207" s="140" t="n"/>
      <c r="N207" s="81" t="n"/>
    </row>
    <row r="208">
      <c r="G208" s="81" t="n"/>
      <c r="H208" s="81" t="n"/>
      <c r="I208" s="81" t="n"/>
      <c r="J208" s="81" t="n"/>
      <c r="M208" s="140" t="n"/>
      <c r="N208" s="81" t="n"/>
    </row>
    <row r="209">
      <c r="G209" s="81" t="n"/>
      <c r="H209" s="81" t="n"/>
      <c r="I209" s="81" t="n"/>
      <c r="J209" s="81" t="n"/>
      <c r="M209" s="140" t="n"/>
      <c r="N209" s="81" t="n"/>
    </row>
    <row r="210">
      <c r="G210" s="81" t="n"/>
      <c r="H210" s="81" t="n"/>
      <c r="I210" s="81" t="n"/>
      <c r="J210" s="81" t="n"/>
      <c r="M210" s="140" t="n"/>
      <c r="N210" s="81" t="n"/>
    </row>
    <row r="211">
      <c r="G211" s="81" t="n"/>
      <c r="H211" s="81" t="n"/>
      <c r="I211" s="81" t="n"/>
      <c r="J211" s="81" t="n"/>
      <c r="M211" s="140" t="n"/>
      <c r="N211" s="81" t="n"/>
    </row>
    <row r="212">
      <c r="G212" s="81" t="n"/>
      <c r="H212" s="81" t="n"/>
      <c r="I212" s="81" t="n"/>
      <c r="J212" s="81" t="n"/>
      <c r="M212" s="140" t="n"/>
      <c r="N212" s="81" t="n"/>
    </row>
    <row r="213">
      <c r="G213" s="81" t="n"/>
      <c r="H213" s="81" t="n"/>
      <c r="I213" s="81" t="n"/>
      <c r="J213" s="81" t="n"/>
      <c r="M213" s="140" t="n"/>
      <c r="N213" s="81" t="n"/>
    </row>
    <row r="214">
      <c r="G214" s="81" t="n"/>
      <c r="H214" s="81" t="n"/>
      <c r="I214" s="81" t="n"/>
      <c r="J214" s="81" t="n"/>
      <c r="M214" s="140" t="n"/>
      <c r="N214" s="81" t="n"/>
    </row>
    <row r="215">
      <c r="G215" s="81" t="n"/>
      <c r="H215" s="81" t="n"/>
      <c r="I215" s="81" t="n"/>
      <c r="J215" s="81" t="n"/>
      <c r="M215" s="140" t="n"/>
      <c r="N215" s="81" t="n"/>
    </row>
    <row r="216">
      <c r="G216" s="81" t="n"/>
      <c r="H216" s="81" t="n"/>
      <c r="I216" s="81" t="n"/>
      <c r="J216" s="81" t="n"/>
      <c r="M216" s="140" t="n"/>
      <c r="N216" s="81" t="n"/>
    </row>
    <row r="217">
      <c r="G217" s="81" t="n"/>
      <c r="H217" s="81" t="n"/>
      <c r="I217" s="81" t="n"/>
      <c r="J217" s="81" t="n"/>
      <c r="M217" s="140" t="n"/>
      <c r="N217" s="81" t="n"/>
    </row>
    <row r="218">
      <c r="G218" s="81" t="n"/>
      <c r="H218" s="81" t="n"/>
      <c r="I218" s="81" t="n"/>
      <c r="J218" s="81" t="n"/>
      <c r="M218" s="140" t="n"/>
      <c r="N218" s="81" t="n"/>
    </row>
    <row r="219">
      <c r="G219" s="81" t="n"/>
      <c r="H219" s="81" t="n"/>
      <c r="I219" s="81" t="n"/>
      <c r="J219" s="81" t="n"/>
      <c r="M219" s="140" t="n"/>
      <c r="N219" s="81" t="n"/>
    </row>
    <row r="220">
      <c r="G220" s="81" t="n"/>
      <c r="H220" s="81" t="n"/>
      <c r="I220" s="81" t="n"/>
      <c r="J220" s="81" t="n"/>
      <c r="M220" s="140" t="n"/>
      <c r="N220" s="81" t="n"/>
    </row>
    <row r="221">
      <c r="G221" s="81" t="n"/>
      <c r="H221" s="81" t="n"/>
      <c r="I221" s="81" t="n"/>
      <c r="J221" s="81" t="n"/>
      <c r="M221" s="140" t="n"/>
      <c r="N221" s="81" t="n"/>
    </row>
    <row r="222">
      <c r="G222" s="81" t="n"/>
      <c r="H222" s="81" t="n"/>
      <c r="I222" s="81" t="n"/>
      <c r="J222" s="81" t="n"/>
      <c r="M222" s="140" t="n"/>
      <c r="N222" s="81" t="n"/>
    </row>
    <row r="223">
      <c r="G223" s="81" t="n"/>
      <c r="H223" s="81" t="n"/>
      <c r="I223" s="81" t="n"/>
      <c r="J223" s="81" t="n"/>
      <c r="M223" s="140" t="n"/>
      <c r="N223" s="81" t="n"/>
    </row>
    <row r="224">
      <c r="G224" s="81" t="n"/>
      <c r="H224" s="81" t="n"/>
      <c r="I224" s="81" t="n"/>
      <c r="J224" s="81" t="n"/>
      <c r="M224" s="140" t="n"/>
      <c r="N224" s="81" t="n"/>
    </row>
    <row r="225">
      <c r="G225" s="81" t="n"/>
      <c r="H225" s="81" t="n"/>
      <c r="I225" s="81" t="n"/>
      <c r="J225" s="81" t="n"/>
      <c r="M225" s="140" t="n"/>
      <c r="N225" s="81" t="n"/>
    </row>
    <row r="226">
      <c r="G226" s="81" t="n"/>
      <c r="H226" s="81" t="n"/>
      <c r="I226" s="81" t="n"/>
      <c r="J226" s="81" t="n"/>
      <c r="M226" s="140" t="n"/>
      <c r="N226" s="81" t="n"/>
    </row>
    <row r="227">
      <c r="G227" s="81" t="n"/>
      <c r="H227" s="81" t="n"/>
      <c r="I227" s="81" t="n"/>
      <c r="J227" s="81" t="n"/>
      <c r="M227" s="140" t="n"/>
      <c r="N227" s="81" t="n"/>
    </row>
    <row r="228">
      <c r="G228" s="81" t="n"/>
      <c r="H228" s="81" t="n"/>
      <c r="I228" s="81" t="n"/>
      <c r="J228" s="81" t="n"/>
      <c r="M228" s="140" t="n"/>
      <c r="N228" s="81" t="n"/>
    </row>
    <row r="229">
      <c r="G229" s="81" t="n"/>
      <c r="H229" s="81" t="n"/>
      <c r="I229" s="81" t="n"/>
      <c r="J229" s="81" t="n"/>
      <c r="M229" s="140" t="n"/>
      <c r="N229" s="81" t="n"/>
    </row>
    <row r="230">
      <c r="G230" s="81" t="n"/>
      <c r="H230" s="81" t="n"/>
      <c r="I230" s="81" t="n"/>
      <c r="J230" s="81" t="n"/>
      <c r="M230" s="140" t="n"/>
      <c r="N230" s="81" t="n"/>
    </row>
    <row r="231">
      <c r="G231" s="81" t="n"/>
      <c r="H231" s="81" t="n"/>
      <c r="I231" s="81" t="n"/>
      <c r="J231" s="81" t="n"/>
      <c r="M231" s="140" t="n"/>
      <c r="N231" s="81" t="n"/>
    </row>
    <row r="232">
      <c r="G232" s="81" t="n"/>
      <c r="H232" s="81" t="n"/>
      <c r="I232" s="81" t="n"/>
      <c r="J232" s="81" t="n"/>
      <c r="M232" s="140" t="n"/>
      <c r="N232" s="81" t="n"/>
    </row>
    <row r="233">
      <c r="G233" s="81" t="n"/>
      <c r="H233" s="81" t="n"/>
      <c r="I233" s="81" t="n"/>
      <c r="J233" s="81" t="n"/>
      <c r="M233" s="140" t="n"/>
      <c r="N233" s="81" t="n"/>
    </row>
    <row r="234">
      <c r="G234" s="81" t="n"/>
      <c r="H234" s="81" t="n"/>
      <c r="I234" s="81" t="n"/>
      <c r="J234" s="81" t="n"/>
      <c r="M234" s="140" t="n"/>
      <c r="N234" s="81" t="n"/>
    </row>
    <row r="235">
      <c r="G235" s="81" t="n"/>
      <c r="H235" s="81" t="n"/>
      <c r="I235" s="81" t="n"/>
      <c r="J235" s="81" t="n"/>
      <c r="M235" s="140" t="n"/>
      <c r="N235" s="81" t="n"/>
    </row>
    <row r="236">
      <c r="G236" s="81" t="n"/>
      <c r="H236" s="81" t="n"/>
      <c r="I236" s="81" t="n"/>
      <c r="J236" s="81" t="n"/>
      <c r="M236" s="140" t="n"/>
      <c r="N236" s="81" t="n"/>
    </row>
    <row r="237">
      <c r="G237" s="81" t="n"/>
      <c r="H237" s="81" t="n"/>
      <c r="I237" s="81" t="n"/>
      <c r="J237" s="81" t="n"/>
      <c r="M237" s="140" t="n"/>
      <c r="N237" s="81" t="n"/>
    </row>
    <row r="238">
      <c r="G238" s="81" t="n"/>
      <c r="H238" s="81" t="n"/>
      <c r="I238" s="81" t="n"/>
      <c r="J238" s="81" t="n"/>
      <c r="M238" s="140" t="n"/>
      <c r="N238" s="81" t="n"/>
    </row>
    <row r="239">
      <c r="G239" s="81" t="n"/>
      <c r="H239" s="81" t="n"/>
      <c r="I239" s="81" t="n"/>
      <c r="J239" s="81" t="n"/>
      <c r="M239" s="140" t="n"/>
      <c r="N239" s="81" t="n"/>
    </row>
    <row r="240">
      <c r="G240" s="81" t="n"/>
      <c r="H240" s="81" t="n"/>
      <c r="I240" s="81" t="n"/>
      <c r="J240" s="81" t="n"/>
      <c r="M240" s="140" t="n"/>
      <c r="N240" s="81" t="n"/>
    </row>
    <row r="241">
      <c r="G241" s="81" t="n"/>
      <c r="H241" s="81" t="n"/>
      <c r="I241" s="81" t="n"/>
      <c r="J241" s="81" t="n"/>
      <c r="M241" s="140" t="n"/>
      <c r="N241" s="81" t="n"/>
    </row>
    <row r="242">
      <c r="G242" s="81" t="n"/>
      <c r="H242" s="81" t="n"/>
      <c r="I242" s="81" t="n"/>
      <c r="J242" s="81" t="n"/>
      <c r="M242" s="140" t="n"/>
      <c r="N242" s="81" t="n"/>
    </row>
    <row r="243">
      <c r="G243" s="81" t="n"/>
      <c r="H243" s="81" t="n"/>
      <c r="I243" s="81" t="n"/>
      <c r="J243" s="81" t="n"/>
      <c r="M243" s="140" t="n"/>
      <c r="N243" s="81" t="n"/>
    </row>
    <row r="244">
      <c r="G244" s="81" t="n"/>
      <c r="H244" s="81" t="n"/>
      <c r="I244" s="81" t="n"/>
      <c r="J244" s="81" t="n"/>
      <c r="M244" s="140" t="n"/>
      <c r="N244" s="81" t="n"/>
    </row>
    <row r="245">
      <c r="G245" s="81" t="n"/>
      <c r="H245" s="81" t="n"/>
      <c r="I245" s="81" t="n"/>
      <c r="J245" s="81" t="n"/>
      <c r="M245" s="140" t="n"/>
      <c r="N245" s="81" t="n"/>
    </row>
    <row r="246">
      <c r="G246" s="81" t="n"/>
      <c r="H246" s="81" t="n"/>
      <c r="I246" s="81" t="n"/>
      <c r="J246" s="81" t="n"/>
      <c r="M246" s="140" t="n"/>
      <c r="N246" s="81" t="n"/>
    </row>
    <row r="247">
      <c r="G247" s="81" t="n"/>
      <c r="H247" s="81" t="n"/>
      <c r="I247" s="81" t="n"/>
      <c r="J247" s="81" t="n"/>
      <c r="M247" s="140" t="n"/>
      <c r="N247" s="81" t="n"/>
    </row>
    <row r="248">
      <c r="G248" s="81" t="n"/>
      <c r="H248" s="81" t="n"/>
      <c r="I248" s="81" t="n"/>
      <c r="J248" s="81" t="n"/>
      <c r="M248" s="140" t="n"/>
      <c r="N248" s="81" t="n"/>
    </row>
    <row r="249">
      <c r="G249" s="81" t="n"/>
      <c r="H249" s="81" t="n"/>
      <c r="I249" s="81" t="n"/>
      <c r="J249" s="81" t="n"/>
      <c r="M249" s="140" t="n"/>
      <c r="N249" s="81" t="n"/>
    </row>
    <row r="250">
      <c r="G250" s="81" t="n"/>
      <c r="H250" s="81" t="n"/>
      <c r="I250" s="81" t="n"/>
      <c r="J250" s="81" t="n"/>
      <c r="M250" s="140" t="n"/>
      <c r="N250" s="81" t="n"/>
    </row>
    <row r="251">
      <c r="G251" s="81" t="n"/>
      <c r="H251" s="81" t="n"/>
      <c r="I251" s="81" t="n"/>
      <c r="J251" s="81" t="n"/>
      <c r="M251" s="140" t="n"/>
      <c r="N251" s="81" t="n"/>
    </row>
    <row r="252">
      <c r="G252" s="81" t="n"/>
      <c r="H252" s="81" t="n"/>
      <c r="I252" s="81" t="n"/>
      <c r="J252" s="81" t="n"/>
      <c r="M252" s="140" t="n"/>
      <c r="N252" s="81" t="n"/>
    </row>
    <row r="253">
      <c r="G253" s="81" t="n"/>
      <c r="H253" s="81" t="n"/>
      <c r="I253" s="81" t="n"/>
      <c r="J253" s="81" t="n"/>
      <c r="M253" s="140" t="n"/>
      <c r="N253" s="81" t="n"/>
    </row>
    <row r="254">
      <c r="G254" s="81" t="n"/>
      <c r="H254" s="81" t="n"/>
      <c r="I254" s="81" t="n"/>
      <c r="J254" s="81" t="n"/>
      <c r="M254" s="140" t="n"/>
      <c r="N254" s="81" t="n"/>
    </row>
    <row r="255">
      <c r="G255" s="81" t="n"/>
      <c r="H255" s="81" t="n"/>
      <c r="I255" s="81" t="n"/>
      <c r="J255" s="81" t="n"/>
      <c r="M255" s="140" t="n"/>
      <c r="N255" s="81" t="n"/>
    </row>
    <row r="256">
      <c r="G256" s="81" t="n"/>
      <c r="H256" s="81" t="n"/>
      <c r="I256" s="81" t="n"/>
      <c r="J256" s="81" t="n"/>
      <c r="M256" s="140" t="n"/>
      <c r="N256" s="81" t="n"/>
    </row>
    <row r="257">
      <c r="G257" s="81" t="n"/>
      <c r="H257" s="81" t="n"/>
      <c r="I257" s="81" t="n"/>
      <c r="J257" s="81" t="n"/>
      <c r="M257" s="140" t="n"/>
      <c r="N257" s="81" t="n"/>
    </row>
    <row r="258">
      <c r="G258" s="81" t="n"/>
      <c r="H258" s="81" t="n"/>
      <c r="I258" s="81" t="n"/>
      <c r="J258" s="81" t="n"/>
      <c r="M258" s="140" t="n"/>
      <c r="N258" s="81" t="n"/>
    </row>
    <row r="259">
      <c r="G259" s="81" t="n"/>
      <c r="H259" s="81" t="n"/>
      <c r="I259" s="81" t="n"/>
      <c r="J259" s="81" t="n"/>
      <c r="M259" s="140" t="n"/>
      <c r="N259" s="81" t="n"/>
    </row>
    <row r="260">
      <c r="G260" s="81" t="n"/>
      <c r="H260" s="81" t="n"/>
      <c r="I260" s="81" t="n"/>
      <c r="J260" s="81" t="n"/>
      <c r="M260" s="140" t="n"/>
      <c r="N260" s="81" t="n"/>
    </row>
    <row r="261">
      <c r="G261" s="81" t="n"/>
      <c r="H261" s="81" t="n"/>
      <c r="I261" s="81" t="n"/>
      <c r="J261" s="81" t="n"/>
      <c r="M261" s="140" t="n"/>
      <c r="N261" s="81" t="n"/>
    </row>
    <row r="262">
      <c r="G262" s="81" t="n"/>
      <c r="H262" s="81" t="n"/>
      <c r="I262" s="81" t="n"/>
      <c r="J262" s="81" t="n"/>
      <c r="M262" s="140" t="n"/>
      <c r="N262" s="81" t="n"/>
    </row>
    <row r="263">
      <c r="G263" s="81" t="n"/>
      <c r="H263" s="81" t="n"/>
      <c r="I263" s="81" t="n"/>
      <c r="J263" s="81" t="n"/>
    </row>
  </sheetData>
  <mergeCells count="6">
    <mergeCell ref="K4:N4"/>
    <mergeCell ref="C4:F4"/>
    <mergeCell ref="G4:J4"/>
    <mergeCell ref="G24:J24"/>
    <mergeCell ref="K24:N24"/>
    <mergeCell ref="C24:F24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2026-08-24T09:02:59Z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