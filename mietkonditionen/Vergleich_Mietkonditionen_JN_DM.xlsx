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%"/>
    <numFmt numFmtId="170" formatCode="0.0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i val="1"/>
      <color rgb="FF808080"/>
      <sz val="10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24" applyAlignment="1" pivotButton="0" quotePrefix="0" xfId="0">
      <alignment vertical="center" wrapText="1"/>
    </xf>
    <xf numFmtId="0" fontId="0" fillId="5" borderId="4" applyAlignment="1" pivotButton="0" quotePrefix="0" xfId="0">
      <alignment vertical="center"/>
    </xf>
    <xf numFmtId="0" fontId="2" fillId="5" borderId="2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5" borderId="9" applyAlignment="1" pivotButton="0" quotePrefix="0" xfId="0">
      <alignment vertical="center"/>
    </xf>
    <xf numFmtId="164" fontId="2" fillId="5" borderId="2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65" fontId="2" fillId="5" borderId="10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24" applyAlignment="1" pivotButton="0" quotePrefix="0" xfId="0">
      <alignment horizontal="left" vertical="center"/>
    </xf>
    <xf numFmtId="0" fontId="0" fillId="7" borderId="4" applyAlignment="1" pivotButton="0" quotePrefix="0" xfId="0">
      <alignment vertical="center"/>
    </xf>
    <xf numFmtId="165" fontId="2" fillId="7" borderId="24" applyAlignment="1" pivotButton="0" quotePrefix="0" xfId="0">
      <alignment horizontal="left" vertical="center"/>
    </xf>
    <xf numFmtId="14" fontId="2" fillId="7" borderId="24" applyAlignment="1" pivotButton="0" quotePrefix="0" xfId="0">
      <alignment horizontal="left" vertical="center"/>
    </xf>
    <xf numFmtId="0" fontId="0" fillId="8" borderId="21" pivotButton="0" quotePrefix="0" xfId="0"/>
    <xf numFmtId="0" fontId="0" fillId="8" borderId="0" applyAlignment="1" pivotButton="0" quotePrefix="0" xfId="0">
      <alignment vertical="center"/>
    </xf>
    <xf numFmtId="0" fontId="1" fillId="8" borderId="23" applyAlignment="1" pivotButton="0" quotePrefix="0" xfId="0">
      <alignment horizontal="right" vertical="center"/>
    </xf>
    <xf numFmtId="0" fontId="1" fillId="8" borderId="1" applyAlignment="1" pivotButton="0" quotePrefix="0" xfId="0">
      <alignment horizontal="right" vertical="center"/>
    </xf>
    <xf numFmtId="165" fontId="2" fillId="7" borderId="26" applyAlignment="1" pivotButton="0" quotePrefix="0" xfId="0">
      <alignment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5" fontId="2" fillId="7" borderId="27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0" fontId="2" fillId="7" borderId="27" applyAlignment="1" pivotButton="0" quotePrefix="0" xfId="0">
      <alignment vertical="center"/>
    </xf>
    <xf numFmtId="0" fontId="2" fillId="8" borderId="2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0" fontId="3" fillId="8" borderId="2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25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2" borderId="22" applyAlignment="1" pivotButton="0" quotePrefix="0" xfId="0">
      <alignment vertical="center"/>
    </xf>
    <xf numFmtId="0" fontId="2" fillId="4" borderId="24" applyAlignment="1" pivotButton="0" quotePrefix="0" xfId="0">
      <alignment horizontal="left" vertical="center" wrapText="1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8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5" fontId="2" fillId="9" borderId="26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12.85546875" customWidth="1" style="2" min="4" max="6"/>
    <col width="11.42578125" customWidth="1" style="2" min="7" max="10"/>
    <col width="11.42578125" customWidth="1" style="2" min="11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47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qm/Bett</t>
        </is>
      </c>
      <c r="C21" s="81">
        <f>+C20/C15</f>
        <v/>
      </c>
      <c r="D21" s="81">
        <f>+D20/D15</f>
        <v/>
      </c>
      <c r="E21" s="49" t="n"/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8" t="n"/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6" t="n"/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6" t="n"/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26" t="n"/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9" t="n"/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6" t="n"/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48" t="n"/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26" t="n"/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6" t="n"/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6" t="n"/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6" t="n"/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26" t="n"/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48" t="n"/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8" t="n"/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48" t="n"/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48" t="n"/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6" t="n"/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6" t="n"/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48" t="n"/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63"/>
  <sheetViews>
    <sheetView showGridLines="0" tabSelected="1" zoomScale="87" workbookViewId="0">
      <selection activeCell="C15" sqref="C15"/>
    </sheetView>
  </sheetViews>
  <sheetFormatPr baseColWidth="10" defaultColWidth="11.42578125" defaultRowHeight="15" outlineLevelRow="1"/>
  <cols>
    <col width="3.85546875" customWidth="1" style="2" min="1" max="1"/>
    <col width="44.28515625" customWidth="1" style="2" min="2" max="2"/>
    <col width="42.140625" customWidth="1" style="2" min="3" max="3"/>
    <col width="12.85546875" customWidth="1" style="2" min="4" max="6"/>
    <col width="35.42578125" customWidth="1" style="51" min="7" max="7"/>
    <col width="12.85546875" customWidth="1" style="2" min="8" max="8"/>
    <col width="11.42578125" customWidth="1" style="2" min="9" max="9"/>
    <col width="12.85546875" bestFit="1" customWidth="1" style="2" min="10" max="11"/>
    <col width="11.42578125" customWidth="1" style="2" min="12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110" t="inlineStr">
        <is>
          <t>Würselen (Target)</t>
        </is>
      </c>
      <c r="D4" s="111" t="n"/>
      <c r="E4" s="111" t="n"/>
      <c r="F4" s="112" t="n"/>
      <c r="G4" s="113" t="inlineStr">
        <is>
          <t>Baesweiler (Bestand)</t>
        </is>
      </c>
      <c r="H4" s="111" t="n"/>
      <c r="I4" s="111" t="n"/>
      <c r="J4" s="112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>
      <c r="B14" s="6" t="inlineStr">
        <is>
          <t>Mietbeginn</t>
        </is>
      </c>
      <c r="C14" s="74" t="n">
        <v>44301</v>
      </c>
      <c r="D14" s="72" t="n"/>
      <c r="E14" s="72" t="n"/>
      <c r="F14" s="72" t="n"/>
      <c r="G14" s="73" t="inlineStr">
        <is>
          <t>XXX – Monatserster nach Vollzug Kaufvertrag</t>
        </is>
      </c>
      <c r="H14" s="26" t="n"/>
      <c r="I14" s="26" t="n"/>
      <c r="J14" s="26" t="n"/>
      <c r="L14" s="47" t="n"/>
    </row>
    <row r="15">
      <c r="B15" s="6" t="inlineStr">
        <is>
          <t>Mietende Festlaufzeit</t>
        </is>
      </c>
      <c r="C15" s="74" t="n">
        <v>47968</v>
      </c>
      <c r="D15" s="72" t="n"/>
      <c r="E15" s="72" t="n"/>
      <c r="F15" s="72" t="n"/>
      <c r="G15" s="73" t="inlineStr">
        <is>
          <t>XXX – 5 Jahre ab Mietbeginn</t>
        </is>
      </c>
      <c r="H15" s="26" t="n"/>
      <c r="I15" s="26" t="n"/>
      <c r="J15" s="26" t="n"/>
      <c r="L15" s="47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keine Kündigung 12 Monate vor Vertragsende erfolgt</t>
        </is>
      </c>
      <c r="D16" s="26" t="n"/>
      <c r="E16" s="26" t="n"/>
      <c r="F16" s="26" t="n"/>
      <c r="G16" s="71" t="inlineStr">
        <is>
          <t>2x 5 Jahre; 
nur auf aktive Ausübung</t>
        </is>
      </c>
      <c r="H16" s="26" t="n"/>
      <c r="I16" s="26" t="n"/>
      <c r="J16" s="26" t="n"/>
      <c r="L16" s="47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54" t="inlineStr">
        <is>
          <t>Monatserster nach Vollzug des Kaufvertrags</t>
        </is>
      </c>
      <c r="H17" s="26" t="n"/>
      <c r="I17" s="26" t="n"/>
      <c r="J17" s="26" t="n"/>
      <c r="L17" s="47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54" t="inlineStr">
        <is>
          <t>Anspruch nach Sicherheitsleistung; keine Vertragsstrafe</t>
        </is>
      </c>
      <c r="H18" s="26" t="n"/>
      <c r="I18" s="26" t="n"/>
      <c r="J18" s="26" t="n"/>
      <c r="L18" s="47" t="n"/>
    </row>
    <row r="19" ht="30" customHeight="1">
      <c r="B19" s="6" t="inlineStr">
        <is>
          <t>Aufschiebende Bedingung / Rücktrittsrecht</t>
        </is>
      </c>
      <c r="C19" s="108" t="inlineStr">
        <is>
          <t>außerordentliche Kündigung bei &gt;3 Monate Verzug</t>
        </is>
      </c>
      <c r="D19" s="26" t="n"/>
      <c r="E19" s="26" t="n"/>
      <c r="F19" s="26" t="n"/>
      <c r="G19" s="54" t="inlineStr">
        <is>
          <t>kein Rücktrittsrecht</t>
        </is>
      </c>
      <c r="H19" s="26" t="n"/>
      <c r="I19" s="26" t="n"/>
      <c r="J19" s="26" t="n"/>
      <c r="L19" s="47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73" t="inlineStr">
        <is>
          <t>keine; Miete 10 Jahre fest</t>
        </is>
      </c>
      <c r="H21" s="26" t="n"/>
      <c r="I21" s="26" t="n"/>
      <c r="J21" s="26" t="n"/>
      <c r="L21" s="47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54" t="inlineStr">
        <is>
          <t>keine</t>
        </is>
      </c>
      <c r="H22" s="26" t="n"/>
      <c r="I22" s="26" t="n"/>
      <c r="J22" s="26" t="n"/>
      <c r="L22" s="47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54" t="inlineStr">
        <is>
          <t>Ja; zustimmungsfrei an Konzern und Bewohner</t>
        </is>
      </c>
      <c r="H23" s="26" t="n"/>
      <c r="I23" s="26" t="n"/>
      <c r="J23" s="26" t="n"/>
      <c r="L23" s="47" t="n"/>
    </row>
    <row r="24">
      <c r="B24" s="6" t="inlineStr">
        <is>
          <t>Mietsicherheit</t>
        </is>
      </c>
      <c r="C24" s="108" t="inlineStr">
        <is>
          <t>Bankbürgschaft: 3 Bruttomonatsmieten.</t>
        </is>
      </c>
      <c r="D24" s="109" t="n"/>
      <c r="E24" s="109" t="n"/>
      <c r="F24" s="109" t="n"/>
      <c r="G24" s="114" t="inlineStr">
        <is>
          <t>Patronatserklärung: 1 Jahreskaltmiete.</t>
        </is>
      </c>
      <c r="H24" s="109" t="n"/>
      <c r="I24" s="109" t="n"/>
      <c r="J24" s="109" t="n"/>
      <c r="L24" s="47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54" t="inlineStr">
        <is>
          <t>nicht geregelt</t>
        </is>
      </c>
      <c r="H25" s="26" t="n"/>
      <c r="I25" s="26" t="n"/>
      <c r="J25" s="26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54" t="inlineStr">
        <is>
          <t>Ja, bei Nutzungsuntersagung</t>
        </is>
      </c>
      <c r="H26" s="26" t="n"/>
      <c r="I26" s="26" t="n"/>
      <c r="J26" s="26" t="n"/>
      <c r="L26" s="47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54" t="inlineStr">
        <is>
          <t>Dach und Fach beim Vermieter; Fläche beim Mieter</t>
        </is>
      </c>
      <c r="H27" s="26" t="n"/>
      <c r="I27" s="26" t="n"/>
      <c r="J27" s="26" t="n"/>
      <c r="L27" s="47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54" t="inlineStr">
        <is>
          <t>Inventar vermieterseitig gestellt; Umstellung auf gewerbliche Wärmelieferung möglich</t>
        </is>
      </c>
      <c r="H28" s="26" t="n"/>
      <c r="I28" s="26" t="n"/>
      <c r="J28" s="26" t="n"/>
      <c r="L28" s="47" t="n"/>
    </row>
    <row r="29" ht="6.75" customHeight="1" thickBot="1">
      <c r="B29" s="7" t="n"/>
      <c r="C29" s="8" t="n"/>
      <c r="D29" s="7" t="n"/>
      <c r="E29" s="7" t="n"/>
      <c r="F29" s="7" t="n"/>
      <c r="G29" s="55" t="n"/>
      <c r="H29" s="7" t="n"/>
      <c r="I29" s="7" t="n"/>
      <c r="J29" s="7" t="n"/>
    </row>
    <row r="30">
      <c r="G30" s="5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56" t="n"/>
      <c r="H31" s="9" t="n"/>
      <c r="I31" s="9" t="n"/>
      <c r="J31" s="9" t="n"/>
    </row>
    <row r="32" hidden="1" outlineLevel="1">
      <c r="B32" s="6" t="inlineStr">
        <is>
          <t>Miete/m² (Neubau) - kein BKZ</t>
        </is>
      </c>
      <c r="C32" s="115" t="n">
        <v>20</v>
      </c>
      <c r="D32" s="26" t="n"/>
      <c r="E32" s="26" t="n"/>
      <c r="F32" s="26" t="n"/>
      <c r="G32" s="116" t="n">
        <v>20</v>
      </c>
      <c r="H32" s="26" t="n"/>
      <c r="I32" s="26" t="n"/>
      <c r="J32" s="26" t="n"/>
    </row>
    <row r="33" hidden="1" outlineLevel="1">
      <c r="B33" s="6" t="inlineStr">
        <is>
          <t>Miete/m² inkl. BKZ</t>
        </is>
      </c>
      <c r="C33" s="115" t="n">
        <v>20</v>
      </c>
      <c r="D33" s="26" t="n"/>
      <c r="E33" s="26" t="n"/>
      <c r="F33" s="26" t="n"/>
      <c r="G33" s="116" t="n">
        <v>20</v>
      </c>
      <c r="H33" s="26" t="n"/>
      <c r="I33" s="26" t="n"/>
      <c r="J33" s="26" t="n"/>
    </row>
    <row r="34" hidden="1" outlineLevel="1">
      <c r="B34" s="6" t="inlineStr">
        <is>
          <t>Nebenkosten/m²</t>
        </is>
      </c>
      <c r="C34" s="115" t="n">
        <v>3</v>
      </c>
      <c r="D34" s="26" t="n"/>
      <c r="E34" s="26" t="n"/>
      <c r="F34" s="26" t="n"/>
      <c r="G34" s="116" t="n">
        <v>3</v>
      </c>
      <c r="H34" s="26" t="n"/>
      <c r="I34" s="26" t="n"/>
      <c r="J34" s="26" t="n"/>
    </row>
    <row r="35" hidden="1" outlineLevel="1">
      <c r="B35" s="6" t="inlineStr">
        <is>
          <t>Fläche pro Bett</t>
        </is>
      </c>
      <c r="C35" s="117" t="inlineStr">
        <is>
          <t>50m²</t>
        </is>
      </c>
      <c r="D35" s="118" t="inlineStr">
        <is>
          <t xml:space="preserve"> (d.h. 6er WG: 300m²; 12er WG: 600m²)</t>
        </is>
      </c>
      <c r="E35" s="26" t="n"/>
      <c r="F35" s="26" t="n"/>
      <c r="G35" s="119" t="inlineStr">
        <is>
          <t>50m²</t>
        </is>
      </c>
      <c r="H35" s="118" t="inlineStr">
        <is>
          <t xml:space="preserve"> (d.h. 6er WG: 300m²; 12er WG: 600m²)</t>
        </is>
      </c>
      <c r="I35" s="26" t="n"/>
      <c r="J35" s="26" t="n"/>
    </row>
    <row r="36" hidden="1" outlineLevel="1">
      <c r="B36" s="6" t="inlineStr">
        <is>
          <t>Miete pro Bett pro Monat (exkl. Baukostenzuschuss)</t>
        </is>
      </c>
      <c r="C36" s="117" t="n">
        <v>1000</v>
      </c>
      <c r="D36" s="26" t="n"/>
      <c r="E36" s="26" t="n"/>
      <c r="F36" s="26" t="n"/>
      <c r="G36" s="119" t="n">
        <v>1000</v>
      </c>
      <c r="H36" s="26" t="n"/>
      <c r="I36" s="26" t="n"/>
      <c r="J36" s="26" t="n"/>
    </row>
    <row r="37" hidden="1" outlineLevel="1">
      <c r="B37" s="6" t="inlineStr">
        <is>
          <t>Miete pro Bett pro Monat (inkl. BKZ über 10 Jahre)</t>
        </is>
      </c>
      <c r="C37" s="117">
        <f>+C36</f>
        <v/>
      </c>
      <c r="D37" s="26" t="n"/>
      <c r="E37" s="26" t="n"/>
      <c r="F37" s="26" t="n"/>
      <c r="G37" s="119">
        <f>+G36</f>
        <v/>
      </c>
      <c r="H37" s="26" t="n"/>
      <c r="I37" s="26" t="n"/>
      <c r="J37" s="26" t="n"/>
    </row>
    <row r="38" hidden="1" outlineLevel="1">
      <c r="B38" s="6" t="inlineStr">
        <is>
          <t>Baukostenzuschuss pro Bett</t>
        </is>
      </c>
      <c r="C38" s="117" t="n">
        <v>0</v>
      </c>
      <c r="D38" s="118" t="n"/>
      <c r="E38" s="26" t="n"/>
      <c r="F38" s="26" t="n"/>
      <c r="G38" s="119" t="n">
        <v>0</v>
      </c>
      <c r="H38" s="118" t="n"/>
      <c r="I38" s="26" t="n"/>
      <c r="J38" s="26" t="n"/>
    </row>
    <row r="39" hidden="1" outlineLevel="1">
      <c r="B39" s="6" t="inlineStr">
        <is>
          <t>Capex pro Bett (Möbel, Ausstattung, etc.)</t>
        </is>
      </c>
      <c r="C39" s="117" t="n">
        <v>30000</v>
      </c>
      <c r="D39" s="26" t="n"/>
      <c r="E39" s="26" t="n"/>
      <c r="F39" s="26" t="n"/>
      <c r="G39" s="119" t="n">
        <v>30000</v>
      </c>
      <c r="H39" s="26" t="n"/>
      <c r="I39" s="26" t="n"/>
      <c r="J39" s="26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54" t="inlineStr">
        <is>
          <t>TBD</t>
        </is>
      </c>
      <c r="H40" s="26" t="n"/>
      <c r="I40" s="26" t="n"/>
      <c r="J40" s="26" t="n"/>
    </row>
    <row r="41" hidden="1" outlineLevel="1">
      <c r="G41" s="52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56" t="n"/>
      <c r="H42" s="9" t="n"/>
      <c r="I42" s="9" t="n"/>
      <c r="J42" s="9" t="n"/>
    </row>
    <row r="43" hidden="1" outlineLevel="1">
      <c r="B43" s="6" t="inlineStr">
        <is>
          <t>Miete/m² (Bestand) - kein BKZ</t>
        </is>
      </c>
      <c r="C43" s="115" t="n">
        <v>20</v>
      </c>
      <c r="D43" s="26" t="n"/>
      <c r="E43" s="26" t="n"/>
      <c r="F43" s="26" t="n"/>
      <c r="G43" s="116" t="n">
        <v>20</v>
      </c>
      <c r="H43" s="26" t="n"/>
      <c r="I43" s="26" t="n"/>
      <c r="J43" s="26" t="n"/>
    </row>
    <row r="44" hidden="1" outlineLevel="1">
      <c r="B44" s="6" t="inlineStr">
        <is>
          <t>Miete/m² (Bestand) inkl. BKZ</t>
        </is>
      </c>
      <c r="C44" s="115" t="n">
        <v>25</v>
      </c>
      <c r="D44" s="26" t="n"/>
      <c r="E44" s="26" t="n"/>
      <c r="F44" s="26" t="n"/>
      <c r="G44" s="116" t="n">
        <v>25</v>
      </c>
      <c r="H44" s="26" t="n"/>
      <c r="I44" s="26" t="n"/>
      <c r="J44" s="26" t="n"/>
    </row>
    <row r="45" hidden="1" outlineLevel="1">
      <c r="B45" s="6" t="inlineStr">
        <is>
          <t>Nebenkosten/m²</t>
        </is>
      </c>
      <c r="C45" s="115" t="n">
        <v>3</v>
      </c>
      <c r="D45" s="26" t="n"/>
      <c r="E45" s="26" t="n"/>
      <c r="F45" s="26" t="n"/>
      <c r="G45" s="116" t="n">
        <v>3</v>
      </c>
      <c r="H45" s="26" t="n"/>
      <c r="I45" s="26" t="n"/>
      <c r="J45" s="26" t="n"/>
    </row>
    <row r="46" hidden="1" outlineLevel="1">
      <c r="B46" s="6" t="inlineStr">
        <is>
          <t>Fläche pro Bett</t>
        </is>
      </c>
      <c r="C46" s="117" t="inlineStr">
        <is>
          <t>50m²</t>
        </is>
      </c>
      <c r="D46" s="118" t="inlineStr">
        <is>
          <t xml:space="preserve"> (d.h. 6er WG: 300m²; 12er WG: 600m²)</t>
        </is>
      </c>
      <c r="E46" s="26" t="n"/>
      <c r="F46" s="26" t="n"/>
      <c r="G46" s="119" t="inlineStr">
        <is>
          <t>50m²</t>
        </is>
      </c>
      <c r="H46" s="118" t="inlineStr">
        <is>
          <t xml:space="preserve"> (d.h. 6er WG: 300m²; 12er WG: 600m²)</t>
        </is>
      </c>
      <c r="I46" s="26" t="n"/>
      <c r="J46" s="26" t="n"/>
    </row>
    <row r="47" hidden="1" outlineLevel="1">
      <c r="B47" s="6" t="inlineStr">
        <is>
          <t>Miete pro Bett pro Monat (exkl. Baukostenzuschuss)</t>
        </is>
      </c>
      <c r="C47" s="117" t="n">
        <v>1000</v>
      </c>
      <c r="D47" s="26" t="n"/>
      <c r="E47" s="26" t="n"/>
      <c r="F47" s="26" t="n"/>
      <c r="G47" s="119" t="n">
        <v>1000</v>
      </c>
      <c r="H47" s="26" t="n"/>
      <c r="I47" s="26" t="n"/>
      <c r="J47" s="26" t="n"/>
    </row>
    <row r="48" hidden="1" outlineLevel="1">
      <c r="B48" s="6" t="inlineStr">
        <is>
          <t>Miete pro Bett pro Monat (inkl. BKZ über 10 Jahre)</t>
        </is>
      </c>
      <c r="C48" s="117" t="n">
        <v>1250</v>
      </c>
      <c r="D48" s="26" t="n"/>
      <c r="E48" s="26" t="n"/>
      <c r="F48" s="26" t="n"/>
      <c r="G48" s="119" t="n">
        <v>1250</v>
      </c>
      <c r="H48" s="26" t="n"/>
      <c r="I48" s="26" t="n"/>
      <c r="J48" s="26" t="n"/>
    </row>
    <row r="49" hidden="1" outlineLevel="1">
      <c r="B49" s="6" t="inlineStr">
        <is>
          <t>Baukostenzuschuss pro Bett</t>
        </is>
      </c>
      <c r="C49" s="117" t="n">
        <v>40000</v>
      </c>
      <c r="D49" s="118" t="inlineStr">
        <is>
          <t>(d.h. 6er WG: 180.000 €, 12er WG: 360.000 €)</t>
        </is>
      </c>
      <c r="E49" s="26" t="n"/>
      <c r="F49" s="26" t="n"/>
      <c r="G49" s="119" t="n">
        <v>40000</v>
      </c>
      <c r="H49" s="118" t="inlineStr">
        <is>
          <t>(d.h. 6er WG: 180.000 €, 12er WG: 360.000 €)</t>
        </is>
      </c>
      <c r="I49" s="26" t="n"/>
      <c r="J49" s="26" t="n"/>
    </row>
    <row r="50" hidden="1" outlineLevel="1">
      <c r="B50" s="6" t="inlineStr">
        <is>
          <t>Capex pro Bett (Möbel, Ausstattung, etc.)</t>
        </is>
      </c>
      <c r="C50" s="117" t="n">
        <v>30000</v>
      </c>
      <c r="D50" s="26" t="n"/>
      <c r="E50" s="26" t="n"/>
      <c r="F50" s="26" t="n"/>
      <c r="G50" s="119" t="n">
        <v>30000</v>
      </c>
      <c r="H50" s="26" t="n"/>
      <c r="I50" s="26" t="n"/>
      <c r="J50" s="26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59" t="n">
        <v>0</v>
      </c>
      <c r="H51" s="26" t="n"/>
      <c r="I51" s="26" t="n"/>
      <c r="J51" s="26" t="n"/>
    </row>
    <row r="52" hidden="1" outlineLevel="1">
      <c r="G52" s="52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56" t="n"/>
      <c r="H53" s="9" t="n"/>
      <c r="I53" s="9" t="n"/>
      <c r="J53" s="9" t="n"/>
    </row>
    <row r="54">
      <c r="B54" s="10" t="inlineStr">
        <is>
          <t>Einheit 1</t>
        </is>
      </c>
      <c r="C54" s="10" t="n"/>
      <c r="D54" s="10" t="n"/>
      <c r="E54" s="10" t="n"/>
      <c r="F54" s="10" t="n"/>
      <c r="G54" s="60" t="n"/>
      <c r="H54" s="10" t="n"/>
      <c r="I54" s="10" t="n"/>
      <c r="J54" s="10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59" t="inlineStr">
        <is>
          <t>WG (Intensivpflege-Wohngemeinschaft)</t>
        </is>
      </c>
      <c r="H55" s="26" t="n"/>
      <c r="I55" s="26" t="n"/>
      <c r="J55" s="26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59" t="inlineStr">
        <is>
          <t>XXX</t>
        </is>
      </c>
      <c r="H56" s="26" t="n"/>
      <c r="I56" s="26" t="n"/>
      <c r="J56" s="26" t="n"/>
      <c r="L56" s="47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59" t="inlineStr">
        <is>
          <t>18 Patientenzimmer</t>
        </is>
      </c>
      <c r="H57" s="26" t="n"/>
      <c r="I57" s="26" t="n"/>
      <c r="J57" s="26" t="n"/>
      <c r="L57" s="47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61" t="n">
        <v>1082</v>
      </c>
      <c r="H58" s="26" t="n"/>
      <c r="I58" s="26" t="n"/>
      <c r="J58" s="26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62" t="inlineStr">
        <is>
          <t>XXX</t>
        </is>
      </c>
      <c r="H59" s="26" t="n"/>
      <c r="I59" s="26" t="n"/>
      <c r="J59" s="26" t="n"/>
    </row>
    <row r="60">
      <c r="G60" s="52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63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2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14.95</v>
      </c>
      <c r="E62" s="13">
        <f>+C62*D62</f>
        <v/>
      </c>
      <c r="F62" s="13">
        <f>+E62*12</f>
        <v/>
      </c>
      <c r="G62" s="64" t="n">
        <v>1082</v>
      </c>
      <c r="H62" s="31" t="n">
        <v>7.855822550831793</v>
      </c>
      <c r="I62" s="13">
        <f>+G62*H62</f>
        <v/>
      </c>
      <c r="J62" s="13">
        <f>+I62*12</f>
        <v/>
      </c>
      <c r="L62" s="47" t="n"/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13">
        <f>+E63*12</f>
        <v/>
      </c>
      <c r="G63" s="65">
        <f>+G62</f>
        <v/>
      </c>
      <c r="H63" s="33" t="n">
        <v>4.343807763401109</v>
      </c>
      <c r="I63" s="13">
        <f>+G63*H63</f>
        <v/>
      </c>
      <c r="J63" s="13">
        <f>+I63*12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13">
        <f>+E64*12</f>
        <v/>
      </c>
      <c r="G64" s="66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13">
        <f>+E65*12</f>
        <v/>
      </c>
      <c r="G65" s="65" t="n">
        <v>0</v>
      </c>
      <c r="H65" s="33" t="n">
        <v>0</v>
      </c>
      <c r="I65" s="13">
        <f>+G65*H65</f>
        <v/>
      </c>
      <c r="J65" s="13">
        <f>+I65*12</f>
        <v/>
      </c>
    </row>
    <row r="66">
      <c r="B66" s="6" t="inlineStr">
        <is>
          <t>Keller</t>
        </is>
      </c>
      <c r="C66" s="120" t="n">
        <v>18.65</v>
      </c>
      <c r="D66" s="33" t="n">
        <v>5</v>
      </c>
      <c r="E66" s="13">
        <f>+C66*D66</f>
        <v/>
      </c>
      <c r="F66" s="13">
        <f>+E66*12</f>
        <v/>
      </c>
      <c r="G66" s="65" t="n">
        <v>0</v>
      </c>
      <c r="H66" s="33" t="n">
        <v>0</v>
      </c>
      <c r="I66" s="13">
        <f>+G66*H66</f>
        <v/>
      </c>
      <c r="J66" s="13">
        <f>+I66*12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13">
        <f>+E67*12</f>
        <v/>
      </c>
      <c r="G67" s="66" t="n">
        <v>0</v>
      </c>
      <c r="H67" s="33" t="n">
        <v>0</v>
      </c>
      <c r="I67" s="13">
        <f>+G67*H67</f>
        <v/>
      </c>
      <c r="J67" s="13">
        <f>+I67*12</f>
        <v/>
      </c>
    </row>
    <row r="68" ht="8.25" customHeight="1">
      <c r="B68" s="14" t="n"/>
      <c r="C68" s="15" t="n"/>
      <c r="D68" s="16" t="n"/>
      <c r="E68" s="17" t="n"/>
      <c r="F68" s="17" t="n"/>
      <c r="G68" s="67" t="n"/>
      <c r="H68" s="16" t="n"/>
      <c r="I68" s="17" t="n"/>
      <c r="J68" s="17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20">
        <f>+SUM(F62:F68)</f>
        <v/>
      </c>
      <c r="G69" s="68" t="n"/>
      <c r="H69" s="19" t="n"/>
      <c r="I69" s="20">
        <f>+SUM(I62:I68)</f>
        <v/>
      </c>
      <c r="J69" s="20">
        <f>+SUM(J62:J68)</f>
        <v/>
      </c>
    </row>
    <row r="70" ht="6.75" customHeight="1" thickBot="1">
      <c r="B70" s="7" t="n"/>
      <c r="C70" s="8" t="n"/>
      <c r="D70" s="7" t="n"/>
      <c r="E70" s="7" t="n"/>
      <c r="F70" s="7" t="n"/>
      <c r="G70" s="55" t="n"/>
      <c r="H70" s="7" t="n"/>
      <c r="I70" s="7" t="n"/>
      <c r="J70" s="7" t="n"/>
    </row>
    <row r="71">
      <c r="G71" s="52" t="n"/>
    </row>
    <row r="72">
      <c r="B72" s="10" t="inlineStr">
        <is>
          <t>Einheit 2</t>
        </is>
      </c>
      <c r="C72" s="10" t="n"/>
      <c r="D72" s="10" t="n"/>
      <c r="E72" s="10" t="n"/>
      <c r="F72" s="10" t="n"/>
      <c r="G72" s="84" t="n"/>
      <c r="H72" s="85" t="n"/>
      <c r="I72" s="85" t="n"/>
      <c r="J72" s="85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86" t="n"/>
      <c r="H73" s="87" t="n"/>
      <c r="I73" s="87" t="n"/>
      <c r="J73" s="87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86" t="n"/>
      <c r="H74" s="87" t="n"/>
      <c r="I74" s="87" t="n"/>
      <c r="J74" s="87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86" t="n"/>
      <c r="H75" s="87" t="n"/>
      <c r="I75" s="87" t="n"/>
      <c r="J75" s="87" t="n"/>
      <c r="L75" s="47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88" t="n"/>
      <c r="H76" s="87" t="n"/>
      <c r="I76" s="87" t="n"/>
      <c r="J76" s="87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89" t="n"/>
      <c r="H77" s="87" t="n"/>
      <c r="I77" s="87" t="n"/>
      <c r="J77" s="87" t="n"/>
    </row>
    <row r="78">
      <c r="G78" s="90" t="n"/>
      <c r="H78" s="91" t="n"/>
      <c r="I78" s="91" t="n"/>
      <c r="J78" s="91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92" t="n"/>
      <c r="H79" s="93" t="n"/>
      <c r="I79" s="93" t="n"/>
      <c r="J79" s="93" t="n"/>
    </row>
    <row r="80">
      <c r="B80" s="2" t="inlineStr">
        <is>
          <t>Nettokaltmiete</t>
        </is>
      </c>
      <c r="C80" s="30" t="n">
        <v>350.32</v>
      </c>
      <c r="D80" s="31" t="n">
        <v>14.95</v>
      </c>
      <c r="E80" s="13">
        <f>+C80*D80</f>
        <v/>
      </c>
      <c r="F80" s="13">
        <f>+E80*12</f>
        <v/>
      </c>
      <c r="G80" s="94" t="n"/>
      <c r="H80" s="95" t="n"/>
      <c r="I80" s="96" t="n"/>
      <c r="J80" s="96" t="n"/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13">
        <f>+E81*12</f>
        <v/>
      </c>
      <c r="G81" s="97" t="n"/>
      <c r="H81" s="98" t="n"/>
      <c r="I81" s="96" t="n"/>
      <c r="J81" s="96" t="n"/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13">
        <f>+E82*12</f>
        <v/>
      </c>
      <c r="G82" s="99" t="n"/>
      <c r="H82" s="98" t="n"/>
      <c r="I82" s="96" t="n"/>
      <c r="J82" s="96" t="n"/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13">
        <f>+E83*12</f>
        <v/>
      </c>
      <c r="G83" s="97" t="n"/>
      <c r="H83" s="98" t="n"/>
      <c r="I83" s="96" t="n"/>
      <c r="J83" s="96" t="n"/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13">
        <f>+E84*12</f>
        <v/>
      </c>
      <c r="G84" s="97" t="n"/>
      <c r="H84" s="98" t="n"/>
      <c r="I84" s="96" t="n"/>
      <c r="J84" s="96" t="n"/>
    </row>
    <row r="85">
      <c r="B85" s="72" t="inlineStr">
        <is>
          <t>Statische Mehraufwendungen</t>
        </is>
      </c>
      <c r="C85" s="75" t="n">
        <v>1</v>
      </c>
      <c r="D85" s="76" t="n">
        <v>600</v>
      </c>
      <c r="E85" s="13">
        <f>+C85*D85</f>
        <v/>
      </c>
      <c r="F85" s="13">
        <f>+E85*12</f>
        <v/>
      </c>
      <c r="G85" s="99" t="n"/>
      <c r="H85" s="98" t="n"/>
      <c r="I85" s="96" t="n"/>
      <c r="J85" s="96" t="n"/>
    </row>
    <row r="86" ht="8.25" customHeight="1">
      <c r="B86" s="14" t="n"/>
      <c r="C86" s="15" t="n"/>
      <c r="D86" s="16" t="n"/>
      <c r="E86" s="17" t="n"/>
      <c r="F86" s="17" t="n"/>
      <c r="G86" s="100" t="n"/>
      <c r="H86" s="101" t="n"/>
      <c r="I86" s="102" t="n"/>
      <c r="J86" s="102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20">
        <f>+SUM(F80:F86)</f>
        <v/>
      </c>
      <c r="G87" s="103" t="n"/>
      <c r="H87" s="104" t="n"/>
      <c r="I87" s="105" t="n"/>
      <c r="J87" s="105" t="n"/>
    </row>
    <row r="88" ht="6.75" customHeight="1" thickBot="1">
      <c r="B88" s="7" t="n"/>
      <c r="C88" s="8" t="n"/>
      <c r="D88" s="7" t="n"/>
      <c r="E88" s="7" t="n"/>
      <c r="F88" s="7" t="n"/>
      <c r="G88" s="106" t="n"/>
      <c r="H88" s="107" t="n"/>
      <c r="I88" s="107" t="n"/>
      <c r="J88" s="107" t="n"/>
    </row>
    <row r="89">
      <c r="G89" s="90" t="n"/>
      <c r="H89" s="91" t="n"/>
      <c r="I89" s="91" t="n"/>
      <c r="J89" s="91" t="n"/>
    </row>
    <row r="90">
      <c r="B90" s="10" t="inlineStr">
        <is>
          <t>Einheit 3</t>
        </is>
      </c>
      <c r="C90" s="10" t="n"/>
      <c r="D90" s="10" t="n"/>
      <c r="E90" s="10" t="n"/>
      <c r="F90" s="10" t="n"/>
      <c r="G90" s="84" t="n"/>
      <c r="H90" s="85" t="n"/>
      <c r="I90" s="85" t="n"/>
      <c r="J90" s="85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86" t="n"/>
      <c r="H91" s="87" t="n"/>
      <c r="I91" s="87" t="n"/>
      <c r="J91" s="87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86" t="n"/>
      <c r="H92" s="87" t="n"/>
      <c r="I92" s="87" t="n"/>
      <c r="J92" s="87" t="n"/>
      <c r="L92" s="47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86" t="n"/>
      <c r="H93" s="87" t="n"/>
      <c r="I93" s="87" t="n"/>
      <c r="J93" s="87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88" t="n"/>
      <c r="H94" s="87" t="n"/>
      <c r="I94" s="87" t="n"/>
      <c r="J94" s="87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89" t="n"/>
      <c r="H95" s="87" t="n"/>
      <c r="I95" s="87" t="n"/>
      <c r="J95" s="87" t="n"/>
    </row>
    <row r="96">
      <c r="G96" s="90" t="n"/>
      <c r="H96" s="91" t="n"/>
      <c r="I96" s="91" t="n"/>
      <c r="J96" s="91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92" t="n"/>
      <c r="H97" s="93" t="n"/>
      <c r="I97" s="93" t="n"/>
      <c r="J97" s="93" t="n"/>
    </row>
    <row r="98">
      <c r="B98" s="2" t="inlineStr">
        <is>
          <t>Nettokaltmiete</t>
        </is>
      </c>
      <c r="C98" s="30" t="n">
        <v>59</v>
      </c>
      <c r="D98" s="31" t="n">
        <v>14.95</v>
      </c>
      <c r="E98" s="13">
        <f>+C98*D98</f>
        <v/>
      </c>
      <c r="F98" s="13">
        <f>+E98*12</f>
        <v/>
      </c>
      <c r="G98" s="94" t="n"/>
      <c r="H98" s="95" t="n"/>
      <c r="I98" s="96" t="n"/>
      <c r="J98" s="96" t="n"/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13">
        <f>+E99*12</f>
        <v/>
      </c>
      <c r="G99" s="97" t="n"/>
      <c r="H99" s="98" t="n"/>
      <c r="I99" s="96" t="n"/>
      <c r="J99" s="96" t="n"/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13">
        <f>+E100*12</f>
        <v/>
      </c>
      <c r="G100" s="99" t="n"/>
      <c r="H100" s="98" t="n"/>
      <c r="I100" s="96" t="n"/>
      <c r="J100" s="96" t="n"/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13">
        <f>+E101*12</f>
        <v/>
      </c>
      <c r="G101" s="97" t="n"/>
      <c r="H101" s="98" t="n"/>
      <c r="I101" s="96" t="n"/>
      <c r="J101" s="96" t="n"/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13">
        <f>+E102*12</f>
        <v/>
      </c>
      <c r="G102" s="97" t="n"/>
      <c r="H102" s="98" t="n"/>
      <c r="I102" s="96" t="n"/>
      <c r="J102" s="96" t="n"/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13">
        <f>+E103*12</f>
        <v/>
      </c>
      <c r="G103" s="99" t="n"/>
      <c r="H103" s="98" t="n"/>
      <c r="I103" s="96" t="n"/>
      <c r="J103" s="96" t="n"/>
    </row>
    <row r="104" ht="8.25" customHeight="1">
      <c r="B104" s="14" t="n"/>
      <c r="C104" s="15" t="n"/>
      <c r="D104" s="16" t="n"/>
      <c r="E104" s="17" t="n"/>
      <c r="F104" s="17" t="n"/>
      <c r="G104" s="100" t="n"/>
      <c r="H104" s="101" t="n"/>
      <c r="I104" s="102" t="n"/>
      <c r="J104" s="102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20">
        <f>+SUM(F98:F104)</f>
        <v/>
      </c>
      <c r="G105" s="103" t="n"/>
      <c r="H105" s="104" t="n"/>
      <c r="I105" s="105" t="n"/>
      <c r="J105" s="105" t="n"/>
    </row>
    <row r="106" ht="6.75" customHeight="1" thickBot="1">
      <c r="B106" s="7" t="n"/>
      <c r="C106" s="8" t="n"/>
      <c r="D106" s="7" t="n"/>
      <c r="E106" s="7" t="n"/>
      <c r="F106" s="7" t="n"/>
      <c r="G106" s="55" t="n"/>
      <c r="H106" s="7" t="n"/>
      <c r="I106" s="7" t="n"/>
      <c r="J106" s="7" t="n"/>
    </row>
    <row r="107">
      <c r="G107" s="52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2" t="inlineStr">
        <is>
          <t>€ pro Jahr</t>
        </is>
      </c>
    </row>
    <row r="109">
      <c r="B109" s="2" t="inlineStr">
        <is>
          <t>Nettokaltmiete</t>
        </is>
      </c>
      <c r="C109" s="126">
        <f>+C62+C80+C98</f>
        <v/>
      </c>
      <c r="D109" s="127">
        <f>+IFERROR(E109/C109,0)</f>
        <v/>
      </c>
      <c r="E109" s="128">
        <f>+E62+E80+E98</f>
        <v/>
      </c>
      <c r="F109" s="128">
        <f>+E109*12</f>
        <v/>
      </c>
      <c r="G109" s="129">
        <f>+G62+G80+G98</f>
        <v/>
      </c>
      <c r="H109" s="127">
        <f>+IFERROR(I109/G109,0)</f>
        <v/>
      </c>
      <c r="I109" s="128">
        <f>+I62+I80+I98</f>
        <v/>
      </c>
      <c r="J109" s="128">
        <f>+I109*12</f>
        <v/>
      </c>
    </row>
    <row r="110">
      <c r="B110" s="6" t="inlineStr">
        <is>
          <t>Nebenkostenpauschale</t>
        </is>
      </c>
      <c r="C110" s="126">
        <f>+C63+C81+C99</f>
        <v/>
      </c>
      <c r="D110" s="127">
        <f>+IFERROR(E110/C110,0)</f>
        <v/>
      </c>
      <c r="E110" s="128">
        <f>+E63+E81+E99</f>
        <v/>
      </c>
      <c r="F110" s="128">
        <f>+E110*12</f>
        <v/>
      </c>
      <c r="G110" s="129">
        <f>+G63+G81+G99</f>
        <v/>
      </c>
      <c r="H110" s="127">
        <f>+IFERROR(I110/G110,0)</f>
        <v/>
      </c>
      <c r="I110" s="128">
        <f>+I63+I81+I99</f>
        <v/>
      </c>
      <c r="J110" s="128">
        <f>+I110*12</f>
        <v/>
      </c>
    </row>
    <row r="111">
      <c r="B111" s="6" t="inlineStr">
        <is>
          <t>Stellplätze</t>
        </is>
      </c>
      <c r="C111" s="126">
        <f>+C64+C82+C100</f>
        <v/>
      </c>
      <c r="D111" s="127">
        <f>+IFERROR(E111/C111,0)</f>
        <v/>
      </c>
      <c r="E111" s="128">
        <f>+E64+E82+E100</f>
        <v/>
      </c>
      <c r="F111" s="128">
        <f>+E111*12</f>
        <v/>
      </c>
      <c r="G111" s="129">
        <f>+G64+G82+G100</f>
        <v/>
      </c>
      <c r="H111" s="127">
        <f>+IFERROR(I111/G111,0)</f>
        <v/>
      </c>
      <c r="I111" s="128">
        <f>+I64+I82+I100</f>
        <v/>
      </c>
      <c r="J111" s="128">
        <f>+I111*12</f>
        <v/>
      </c>
    </row>
    <row r="112">
      <c r="B112" s="6" t="inlineStr">
        <is>
          <t>Terasse</t>
        </is>
      </c>
      <c r="C112" s="126">
        <f>+C65+C83+C101</f>
        <v/>
      </c>
      <c r="D112" s="127">
        <f>+IFERROR(E112/C112,0)</f>
        <v/>
      </c>
      <c r="E112" s="128">
        <f>+E65+E83+E101</f>
        <v/>
      </c>
      <c r="F112" s="128">
        <f>+E112*12</f>
        <v/>
      </c>
      <c r="G112" s="129">
        <f>+G65+G83+G101</f>
        <v/>
      </c>
      <c r="H112" s="127">
        <f>+IFERROR(I112/G112,0)</f>
        <v/>
      </c>
      <c r="I112" s="128">
        <f>+I65+I83+I101</f>
        <v/>
      </c>
      <c r="J112" s="128">
        <f>+I112*12</f>
        <v/>
      </c>
    </row>
    <row r="113">
      <c r="B113" s="6" t="inlineStr">
        <is>
          <t>Keller</t>
        </is>
      </c>
      <c r="C113" s="126">
        <f>+C66+C84+C102</f>
        <v/>
      </c>
      <c r="D113" s="127">
        <f>+IFERROR(E113/C113,0)</f>
        <v/>
      </c>
      <c r="E113" s="128">
        <f>+E66+E84+E102</f>
        <v/>
      </c>
      <c r="F113" s="128">
        <f>+E113*12</f>
        <v/>
      </c>
      <c r="G113" s="129">
        <f>+G66+G84+G102</f>
        <v/>
      </c>
      <c r="H113" s="127">
        <f>+IFERROR(I113/G113,0)</f>
        <v/>
      </c>
      <c r="I113" s="128">
        <f>+I66+I84+I102</f>
        <v/>
      </c>
      <c r="J113" s="128">
        <f>+I113*12</f>
        <v/>
      </c>
    </row>
    <row r="114">
      <c r="B114" s="6" t="inlineStr">
        <is>
          <t>Sonstiges</t>
        </is>
      </c>
      <c r="C114" s="126">
        <f>+C67+C85+C103</f>
        <v/>
      </c>
      <c r="D114" s="127">
        <f>+IFERROR(E114/C114,0)</f>
        <v/>
      </c>
      <c r="E114" s="128">
        <f>+E67+E85+E103</f>
        <v/>
      </c>
      <c r="F114" s="128">
        <f>+E114*12</f>
        <v/>
      </c>
      <c r="G114" s="129">
        <f>+G67+G85+G103</f>
        <v/>
      </c>
      <c r="H114" s="127">
        <f>+IFERROR(I114/G114,0)</f>
        <v/>
      </c>
      <c r="I114" s="128">
        <f>+I67+I85+I103</f>
        <v/>
      </c>
      <c r="J114" s="128">
        <f>+I114*12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7" t="n"/>
    </row>
    <row r="116">
      <c r="B116" s="1" t="inlineStr">
        <is>
          <t>Summe</t>
        </is>
      </c>
      <c r="C116" s="18" t="n"/>
      <c r="D116" s="19" t="n"/>
      <c r="E116" s="20">
        <f>+SUM(E109:E115)</f>
        <v/>
      </c>
      <c r="F116" s="20">
        <f>+F69+F87+F105</f>
        <v/>
      </c>
      <c r="G116" s="18" t="n"/>
      <c r="H116" s="19" t="n"/>
      <c r="I116" s="20">
        <f>+SUM(I109:I115)</f>
        <v/>
      </c>
      <c r="J116" s="20">
        <f>+J69</f>
        <v/>
      </c>
      <c r="K116" s="13">
        <f>+F116-J116</f>
        <v/>
      </c>
    </row>
    <row r="117">
      <c r="G117" s="52" t="n"/>
    </row>
    <row r="118">
      <c r="B118" s="82" t="inlineStr">
        <is>
          <t>Berechnung Indexklausel - laut Vermieter beträgt die angepasste Miete 14,95 Euro</t>
        </is>
      </c>
      <c r="G118" s="52" t="n"/>
    </row>
    <row r="119">
      <c r="B119" s="6" t="inlineStr">
        <is>
          <t>Nettokaltmiete bisher (€/qm)</t>
        </is>
      </c>
      <c r="C119" s="121" t="n">
        <v>12.5</v>
      </c>
    </row>
    <row r="120" hidden="1" outlineLevel="1">
      <c r="B120" s="6" t="inlineStr">
        <is>
          <t>Forderung Vermieter (€/qm)</t>
        </is>
      </c>
      <c r="C120" s="121" t="n">
        <v>14.95</v>
      </c>
    </row>
    <row r="121" hidden="1" outlineLevel="1">
      <c r="B121" s="6" t="inlineStr">
        <is>
          <t>implizite Erhöhung</t>
        </is>
      </c>
      <c r="C121" s="122">
        <f>+C120/C119-1</f>
        <v/>
      </c>
    </row>
    <row r="122" hidden="1" outlineLevel="1">
      <c r="B122" s="6" t="inlineStr">
        <is>
          <t>VPI Übergabemonat 04/2021 (Destatis)</t>
        </is>
      </c>
      <c r="C122" s="123" t="n"/>
    </row>
    <row r="123" hidden="1" outlineLevel="1">
      <c r="B123" s="6" t="inlineStr">
        <is>
          <t>VPI Referenzmonat (Destatis)</t>
        </is>
      </c>
      <c r="C123" s="123" t="n"/>
    </row>
    <row r="124" hidden="1" outlineLevel="1">
      <c r="B124" s="6" t="inlineStr">
        <is>
          <t>tatsächliche Indexveränderung</t>
        </is>
      </c>
      <c r="C124" s="122">
        <f>+IFERROR(C123/C122-1,"")</f>
        <v/>
      </c>
    </row>
    <row r="125" hidden="1" outlineLevel="1">
      <c r="B125" s="6" t="inlineStr">
        <is>
          <t>zulässige Miete rechnerisch (€/qm)</t>
        </is>
      </c>
      <c r="C125" s="124">
        <f>+IFERROR(C119*C123/C122,"")</f>
        <v/>
      </c>
    </row>
    <row r="126" hidden="1" outlineLevel="1">
      <c r="B126" s="6" t="inlineStr">
        <is>
          <t>Basis 1. OG abweichend: 10/2023 (3. Nachtrag Ziff. 10)</t>
        </is>
      </c>
      <c r="C126" s="125" t="n"/>
    </row>
    <row r="127" hidden="1" outlineLevel="1">
      <c r="G127" s="52" t="n"/>
    </row>
    <row r="128" hidden="1" outlineLevel="1">
      <c r="B128" s="23" t="inlineStr">
        <is>
          <t>Capex</t>
        </is>
      </c>
      <c r="C128" s="23" t="inlineStr">
        <is>
          <t>Anmerkungen</t>
        </is>
      </c>
      <c r="D128" s="24" t="n"/>
      <c r="E128" s="24" t="n"/>
      <c r="F128" s="24" t="n"/>
      <c r="G128" s="69" t="inlineStr">
        <is>
          <t>Anmerkungen</t>
        </is>
      </c>
      <c r="H128" s="24" t="n"/>
      <c r="I128" s="24" t="n"/>
      <c r="J128" s="24" t="n"/>
    </row>
    <row r="129" hidden="1" outlineLevel="1">
      <c r="B129" s="35" t="inlineStr">
        <is>
          <t>Möbel Patientenzimmer</t>
        </is>
      </c>
      <c r="C129" s="36" t="inlineStr">
        <is>
          <t>Mieter</t>
        </is>
      </c>
      <c r="D129" s="37" t="n"/>
      <c r="E129" s="38" t="n"/>
      <c r="F129" s="50" t="n">
        <v>0</v>
      </c>
      <c r="G129" s="70" t="inlineStr">
        <is>
          <t>Pflegebetten im Inventar</t>
        </is>
      </c>
      <c r="H129" s="37" t="n"/>
      <c r="I129" s="38" t="n"/>
      <c r="J129" s="33" t="n">
        <v>0</v>
      </c>
      <c r="L129" s="47" t="n"/>
    </row>
    <row r="130" hidden="1" outlineLevel="1">
      <c r="B130" s="35" t="inlineStr">
        <is>
          <t>Gemeinschaftsbereich</t>
        </is>
      </c>
      <c r="C130" s="25" t="inlineStr">
        <is>
          <t>Mieter</t>
        </is>
      </c>
      <c r="D130" s="39" t="n"/>
      <c r="E130" s="40" t="n"/>
      <c r="F130" s="50" t="n">
        <v>0</v>
      </c>
      <c r="G130" s="54" t="inlineStr">
        <is>
          <t>Einbauküchen, Vorhänge im Inventar</t>
        </is>
      </c>
      <c r="H130" s="39" t="n"/>
      <c r="I130" s="40" t="n"/>
      <c r="J130" s="33" t="n">
        <v>0</v>
      </c>
    </row>
    <row r="131" hidden="1" outlineLevel="1">
      <c r="B131" s="35" t="inlineStr">
        <is>
          <t>Schwesternrufanlage</t>
        </is>
      </c>
      <c r="C131" s="25" t="inlineStr">
        <is>
          <t>Mieter</t>
        </is>
      </c>
      <c r="D131" s="39" t="n"/>
      <c r="E131" s="40" t="n"/>
      <c r="F131" s="50" t="n">
        <v>0</v>
      </c>
      <c r="G131" s="54" t="inlineStr">
        <is>
          <t>vorhanden; Unterhaltung als Nebenkosten</t>
        </is>
      </c>
      <c r="H131" s="39" t="n"/>
      <c r="I131" s="40" t="n"/>
      <c r="J131" s="33" t="n">
        <v>0</v>
      </c>
    </row>
    <row r="132" hidden="1" outlineLevel="1" ht="8.25" customHeight="1">
      <c r="B132" s="35" t="inlineStr">
        <is>
          <t>Pflegebad</t>
        </is>
      </c>
      <c r="C132" s="25" t="inlineStr">
        <is>
          <t>XXX</t>
        </is>
      </c>
      <c r="D132" s="39" t="n"/>
      <c r="E132" s="40" t="n"/>
      <c r="F132" s="50" t="n">
        <v>0</v>
      </c>
      <c r="G132" s="54" t="inlineStr">
        <is>
          <t>XXX</t>
        </is>
      </c>
      <c r="H132" s="39" t="n"/>
      <c r="I132" s="40" t="n"/>
      <c r="J132" s="33" t="n">
        <v>0</v>
      </c>
    </row>
    <row r="133" hidden="1" outlineLevel="1" customFormat="1" s="1">
      <c r="B133" s="35" t="inlineStr">
        <is>
          <t>Fäkalienspüle</t>
        </is>
      </c>
      <c r="C133" s="25" t="inlineStr">
        <is>
          <t>XXX</t>
        </is>
      </c>
      <c r="D133" s="39" t="n"/>
      <c r="E133" s="40" t="n"/>
      <c r="F133" s="50" t="n">
        <v>0</v>
      </c>
      <c r="G133" s="54" t="inlineStr">
        <is>
          <t>XXX</t>
        </is>
      </c>
      <c r="H133" s="39" t="n"/>
      <c r="I133" s="40" t="n"/>
      <c r="J133" s="33" t="n">
        <v>0</v>
      </c>
    </row>
    <row r="134" hidden="1" outlineLevel="1" ht="6.75" customHeight="1" thickBot="1">
      <c r="B134" s="35" t="inlineStr">
        <is>
          <t>Umbaukosten</t>
        </is>
      </c>
      <c r="C134" s="25" t="inlineStr">
        <is>
          <t>Vermieter baut aus; Sonderwünsche zu Lasten Mieter</t>
        </is>
      </c>
      <c r="D134" s="39" t="n"/>
      <c r="E134" s="40" t="n"/>
      <c r="F134" s="50" t="n">
        <v>0</v>
      </c>
      <c r="G134" s="54" t="inlineStr">
        <is>
          <t>kein Umbau - laufender Betrieb übernommen</t>
        </is>
      </c>
      <c r="H134" s="39" t="n"/>
      <c r="I134" s="40" t="n"/>
      <c r="J134" s="33" t="n">
        <v>0</v>
      </c>
    </row>
    <row r="135" hidden="1" outlineLevel="1" ht="6.75" customHeight="1">
      <c r="B135" s="35" t="inlineStr">
        <is>
          <t>IT</t>
        </is>
      </c>
      <c r="C135" s="25" t="inlineStr">
        <is>
          <t>Mieter</t>
        </is>
      </c>
      <c r="D135" s="39" t="n"/>
      <c r="E135" s="40" t="n"/>
      <c r="F135" s="50" t="n">
        <v>0</v>
      </c>
      <c r="G135" s="54" t="inlineStr">
        <is>
          <t>Mieter</t>
        </is>
      </c>
      <c r="H135" s="39" t="n"/>
      <c r="I135" s="40" t="n"/>
      <c r="J135" s="33" t="n">
        <v>0</v>
      </c>
    </row>
    <row r="136" hidden="1" outlineLevel="1">
      <c r="B136" s="35" t="inlineStr">
        <is>
          <t>Waschmaschinen</t>
        </is>
      </c>
      <c r="C136" s="25" t="inlineStr">
        <is>
          <t>XXX</t>
        </is>
      </c>
      <c r="D136" s="39" t="n"/>
      <c r="E136" s="40" t="n"/>
      <c r="F136" s="50" t="n">
        <v>0</v>
      </c>
      <c r="G136" s="54" t="inlineStr">
        <is>
          <t>XXX</t>
        </is>
      </c>
      <c r="H136" s="39" t="n"/>
      <c r="I136" s="40" t="n"/>
      <c r="J136" s="33" t="n">
        <v>0</v>
      </c>
    </row>
    <row r="137" hidden="1" outlineLevel="1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0" t="n">
        <v>0</v>
      </c>
      <c r="G137" s="54" t="inlineStr">
        <is>
          <t>XXX</t>
        </is>
      </c>
      <c r="H137" s="39" t="n"/>
      <c r="I137" s="40" t="n"/>
      <c r="J137" s="33" t="n">
        <v>0</v>
      </c>
    </row>
    <row r="138" hidden="1" outlineLevel="1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0" t="n">
        <v>0</v>
      </c>
      <c r="G138" s="54" t="inlineStr">
        <is>
          <t>XXX</t>
        </is>
      </c>
      <c r="H138" s="39" t="n"/>
      <c r="I138" s="40" t="n"/>
      <c r="J138" s="33" t="n">
        <v>0</v>
      </c>
    </row>
    <row r="139" hidden="1" outlineLevel="1" ht="6.75" customHeight="1" thickBot="1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0" t="n">
        <v>0</v>
      </c>
      <c r="G139" s="54" t="inlineStr">
        <is>
          <t>XXX</t>
        </is>
      </c>
      <c r="H139" s="39" t="n"/>
      <c r="I139" s="40" t="n"/>
      <c r="J139" s="33" t="n">
        <v>0</v>
      </c>
    </row>
    <row r="140" hidden="1" outlineLevel="1">
      <c r="B140" s="14" t="n"/>
      <c r="C140" s="15" t="n"/>
      <c r="D140" s="16" t="n"/>
      <c r="E140" s="17" t="n"/>
      <c r="F140" s="17" t="n"/>
      <c r="G140" s="67" t="n"/>
      <c r="H140" s="16" t="n"/>
      <c r="I140" s="17" t="n"/>
      <c r="J140" s="17" t="n"/>
    </row>
    <row r="141" hidden="1" outlineLevel="1">
      <c r="B141" s="1" t="inlineStr">
        <is>
          <t>Summe</t>
        </is>
      </c>
      <c r="C141" s="18" t="n"/>
      <c r="D141" s="19" t="n"/>
      <c r="E141" s="20" t="n"/>
      <c r="F141" s="20">
        <f>+SUM(F129:F140)</f>
        <v/>
      </c>
      <c r="G141" s="68" t="n"/>
      <c r="H141" s="19" t="n"/>
      <c r="I141" s="20" t="n"/>
      <c r="J141" s="20">
        <f>+SUM(J129:J140)</f>
        <v/>
      </c>
    </row>
    <row r="142" hidden="1" outlineLevel="1">
      <c r="B142" s="7" t="n"/>
      <c r="C142" s="8" t="n"/>
      <c r="D142" s="7" t="n"/>
      <c r="E142" s="7" t="n"/>
      <c r="F142" s="7" t="n"/>
      <c r="G142" s="55" t="n"/>
      <c r="H142" s="7" t="n"/>
      <c r="I142" s="7" t="n"/>
      <c r="J142" s="7" t="n"/>
    </row>
    <row r="143" hidden="1" outlineLevel="1">
      <c r="G143" s="52" t="n"/>
    </row>
    <row r="144" hidden="1" outlineLevel="1">
      <c r="B144" s="21" t="inlineStr">
        <is>
          <t>davon:</t>
        </is>
      </c>
      <c r="G144" s="52" t="n"/>
    </row>
    <row r="145" hidden="1" outlineLevel="1">
      <c r="B145" s="22" t="inlineStr">
        <is>
          <t>Übernahme Vermieter</t>
        </is>
      </c>
      <c r="C145" s="25" t="inlineStr">
        <is>
          <t>Ausbau nach Raumbuch (liegt nicht vor)</t>
        </is>
      </c>
      <c r="D145" s="39" t="n"/>
      <c r="E145" s="40" t="n"/>
      <c r="F145" s="50" t="n">
        <v>0</v>
      </c>
      <c r="G145" s="54" t="inlineStr">
        <is>
          <t>Inventar durch Vermieterseite gestellt</t>
        </is>
      </c>
      <c r="H145" s="39" t="n"/>
      <c r="I145" s="40" t="n"/>
      <c r="J145" s="33" t="n">
        <v>0</v>
      </c>
    </row>
    <row r="146" hidden="1" outlineLevel="1">
      <c r="B146" s="22" t="inlineStr">
        <is>
          <t>Baukostenzuschuss Mieter</t>
        </is>
      </c>
      <c r="C146" s="25" t="inlineStr">
        <is>
          <t>600€/Monat für Statik, 1. OG</t>
        </is>
      </c>
      <c r="D146" s="39" t="n"/>
      <c r="E146" s="40" t="n"/>
      <c r="F146" s="50" t="n">
        <v>0</v>
      </c>
      <c r="G146" s="54" t="inlineStr">
        <is>
          <t>Kein BKZ</t>
        </is>
      </c>
      <c r="H146" s="39" t="n"/>
      <c r="I146" s="40" t="n"/>
      <c r="J146" s="33" t="n">
        <v>0</v>
      </c>
    </row>
    <row r="147" hidden="1" outlineLevel="1">
      <c r="B147" s="7" t="n"/>
      <c r="C147" s="8" t="n"/>
      <c r="D147" s="7" t="n"/>
      <c r="E147" s="7" t="n"/>
      <c r="F147" s="7" t="n"/>
      <c r="G147" s="55" t="n"/>
      <c r="H147" s="7" t="n"/>
      <c r="I147" s="7" t="n"/>
      <c r="J147" s="7" t="n"/>
    </row>
    <row r="148" hidden="1" outlineLevel="1">
      <c r="G148" s="52" t="n"/>
    </row>
    <row r="149" hidden="1" outlineLevel="1">
      <c r="G149" s="52" t="n"/>
    </row>
    <row r="150" hidden="1" outlineLevel="1">
      <c r="B150" s="23" t="inlineStr">
        <is>
          <t>Ramp-up Kosten</t>
        </is>
      </c>
      <c r="C150" s="23" t="inlineStr">
        <is>
          <t>Anmerkungen</t>
        </is>
      </c>
      <c r="D150" s="24" t="n"/>
      <c r="E150" s="24" t="n"/>
      <c r="F150" s="24" t="n"/>
      <c r="G150" s="69" t="inlineStr">
        <is>
          <t>Anmerkungen</t>
        </is>
      </c>
      <c r="H150" s="24" t="n"/>
      <c r="I150" s="24" t="n"/>
      <c r="J150" s="24" t="n"/>
    </row>
    <row r="151" hidden="1" outlineLevel="1">
      <c r="B151" s="35" t="inlineStr">
        <is>
          <t>Betriebsmittel</t>
        </is>
      </c>
      <c r="C151" s="36" t="inlineStr">
        <is>
          <t>XXX</t>
        </is>
      </c>
      <c r="D151" s="37" t="n"/>
      <c r="E151" s="38" t="n"/>
      <c r="F151" s="50" t="n">
        <v>0</v>
      </c>
      <c r="G151" s="70" t="inlineStr">
        <is>
          <t>XXX</t>
        </is>
      </c>
      <c r="H151" s="37" t="n"/>
      <c r="I151" s="38" t="n"/>
      <c r="J151" s="33" t="n">
        <v>0</v>
      </c>
    </row>
    <row r="152" hidden="1" outlineLevel="1">
      <c r="B152" s="35" t="inlineStr">
        <is>
          <t>Werbung / Marketing</t>
        </is>
      </c>
      <c r="C152" s="25" t="inlineStr">
        <is>
          <t>XXX</t>
        </is>
      </c>
      <c r="D152" s="39" t="n"/>
      <c r="E152" s="40" t="n"/>
      <c r="F152" s="50" t="n">
        <v>0</v>
      </c>
      <c r="G152" s="54" t="inlineStr">
        <is>
          <t>XXX</t>
        </is>
      </c>
      <c r="H152" s="39" t="n"/>
      <c r="I152" s="40" t="n"/>
      <c r="J152" s="33" t="n">
        <v>0</v>
      </c>
    </row>
    <row r="153" hidden="1" outlineLevel="1" ht="8.25" customHeight="1">
      <c r="B153" s="35" t="inlineStr">
        <is>
          <t>Personalbeschaffung</t>
        </is>
      </c>
      <c r="C153" s="25" t="inlineStr">
        <is>
          <t>XXX</t>
        </is>
      </c>
      <c r="D153" s="39" t="n"/>
      <c r="E153" s="40" t="n"/>
      <c r="F153" s="50" t="n">
        <v>0</v>
      </c>
      <c r="G153" s="54" t="inlineStr">
        <is>
          <t>XXX</t>
        </is>
      </c>
      <c r="H153" s="39" t="n"/>
      <c r="I153" s="40" t="n"/>
      <c r="J153" s="33" t="n">
        <v>0</v>
      </c>
    </row>
    <row r="154" hidden="1" outlineLevel="1" customFormat="1" s="1">
      <c r="B154" s="35" t="inlineStr">
        <is>
          <t>Planungskosten</t>
        </is>
      </c>
      <c r="C154" s="25" t="inlineStr">
        <is>
          <t>XXX</t>
        </is>
      </c>
      <c r="D154" s="39" t="n"/>
      <c r="E154" s="40" t="n"/>
      <c r="F154" s="50" t="n">
        <v>0</v>
      </c>
      <c r="G154" s="54" t="inlineStr">
        <is>
          <t>XXX</t>
        </is>
      </c>
      <c r="H154" s="39" t="n"/>
      <c r="I154" s="40" t="n"/>
      <c r="J154" s="33" t="n">
        <v>0</v>
      </c>
    </row>
    <row r="155" hidden="1" outlineLevel="1" ht="6.75" customHeight="1" thickBot="1">
      <c r="B155" s="35" t="inlineStr">
        <is>
          <t>Makler</t>
        </is>
      </c>
      <c r="C155" s="25" t="inlineStr">
        <is>
          <t>XXX</t>
        </is>
      </c>
      <c r="D155" s="39" t="n"/>
      <c r="E155" s="40" t="n"/>
      <c r="F155" s="50" t="n">
        <v>0</v>
      </c>
      <c r="G155" s="54" t="inlineStr">
        <is>
          <t>XXX</t>
        </is>
      </c>
      <c r="H155" s="39" t="n"/>
      <c r="I155" s="40" t="n"/>
      <c r="J155" s="33" t="n">
        <v>0</v>
      </c>
    </row>
    <row r="156" hidden="1" outlineLevel="1">
      <c r="B156" s="35" t="inlineStr">
        <is>
          <t>[Platzhalter]</t>
        </is>
      </c>
      <c r="C156" s="25" t="inlineStr">
        <is>
          <t>XXX</t>
        </is>
      </c>
      <c r="D156" s="39" t="n"/>
      <c r="E156" s="40" t="n"/>
      <c r="F156" s="50" t="n">
        <v>0</v>
      </c>
      <c r="G156" s="54" t="inlineStr">
        <is>
          <t>XXX</t>
        </is>
      </c>
      <c r="H156" s="39" t="n"/>
      <c r="I156" s="40" t="n"/>
      <c r="J156" s="33" t="n">
        <v>0</v>
      </c>
    </row>
    <row r="157" collapsed="1">
      <c r="B157" s="35" t="inlineStr">
        <is>
          <t>[Platzhalter]</t>
        </is>
      </c>
      <c r="C157" s="25" t="inlineStr">
        <is>
          <t>XXX</t>
        </is>
      </c>
      <c r="D157" s="39" t="n"/>
      <c r="E157" s="40" t="n"/>
      <c r="F157" s="50" t="n">
        <v>0</v>
      </c>
      <c r="G157" s="54" t="inlineStr">
        <is>
          <t>XXX</t>
        </is>
      </c>
      <c r="H157" s="39" t="n"/>
      <c r="I157" s="40" t="n"/>
      <c r="J157" s="33" t="n">
        <v>0</v>
      </c>
    </row>
    <row r="158">
      <c r="B158" s="35" t="inlineStr">
        <is>
          <t>[Platzhalter]</t>
        </is>
      </c>
      <c r="C158" s="25" t="inlineStr">
        <is>
          <t>XXX</t>
        </is>
      </c>
      <c r="D158" s="39" t="n"/>
      <c r="E158" s="40" t="n"/>
      <c r="F158" s="50" t="n">
        <v>0</v>
      </c>
      <c r="G158" s="54" t="inlineStr">
        <is>
          <t>XXX</t>
        </is>
      </c>
      <c r="H158" s="39" t="n"/>
      <c r="I158" s="40" t="n"/>
      <c r="J158" s="33" t="n">
        <v>0</v>
      </c>
    </row>
    <row r="159">
      <c r="B159" s="35" t="inlineStr">
        <is>
          <t>[Platzhalter]</t>
        </is>
      </c>
      <c r="C159" s="25" t="inlineStr">
        <is>
          <t>XXX</t>
        </is>
      </c>
      <c r="D159" s="39" t="n"/>
      <c r="E159" s="40" t="n"/>
      <c r="F159" s="50" t="n">
        <v>0</v>
      </c>
      <c r="G159" s="54" t="inlineStr">
        <is>
          <t>XXX</t>
        </is>
      </c>
      <c r="H159" s="39" t="n"/>
      <c r="I159" s="40" t="n"/>
      <c r="J159" s="33" t="n">
        <v>0</v>
      </c>
    </row>
    <row r="160">
      <c r="B160" s="35" t="inlineStr">
        <is>
          <t>[Platzhalter]</t>
        </is>
      </c>
      <c r="C160" s="25" t="inlineStr">
        <is>
          <t>XXX</t>
        </is>
      </c>
      <c r="D160" s="39" t="n"/>
      <c r="E160" s="40" t="n"/>
      <c r="F160" s="50" t="n">
        <v>0</v>
      </c>
      <c r="G160" s="54" t="inlineStr">
        <is>
          <t>XXX</t>
        </is>
      </c>
      <c r="H160" s="39" t="n"/>
      <c r="I160" s="40" t="n"/>
      <c r="J160" s="33" t="n">
        <v>0</v>
      </c>
    </row>
    <row r="161">
      <c r="B161" s="14" t="n"/>
      <c r="C161" s="15" t="n"/>
      <c r="D161" s="16" t="n"/>
      <c r="E161" s="17" t="n"/>
      <c r="F161" s="17" t="n"/>
      <c r="G161" s="67" t="n"/>
      <c r="H161" s="16" t="n"/>
      <c r="I161" s="17" t="n"/>
      <c r="J161" s="17" t="n"/>
    </row>
    <row r="162">
      <c r="B162" s="1" t="inlineStr">
        <is>
          <t>Summe</t>
        </is>
      </c>
      <c r="C162" s="18" t="n"/>
      <c r="D162" s="19" t="n"/>
      <c r="E162" s="20" t="n"/>
      <c r="F162" s="20">
        <f>+SUM(F151:F161)</f>
        <v/>
      </c>
      <c r="G162" s="68" t="n"/>
      <c r="H162" s="19" t="n"/>
      <c r="I162" s="20" t="n"/>
      <c r="J162" s="20">
        <f>+SUM(J151:J161)</f>
        <v/>
      </c>
    </row>
    <row r="163">
      <c r="B163" s="7" t="n"/>
      <c r="C163" s="8" t="n"/>
      <c r="D163" s="7" t="n"/>
      <c r="E163" s="7" t="n"/>
      <c r="F163" s="7" t="n"/>
      <c r="G163" s="55" t="n"/>
      <c r="H163" s="7" t="n"/>
      <c r="I163" s="7" t="n"/>
      <c r="J163" s="7" t="n"/>
    </row>
  </sheetData>
  <mergeCells count="4">
    <mergeCell ref="C24:F24"/>
    <mergeCell ref="C4:F4"/>
    <mergeCell ref="G24:J24"/>
    <mergeCell ref="G4:J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2026-08-19T12:23:58Z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