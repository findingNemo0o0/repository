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name="Short Version" sheetId="1" state="visible" r:id="rId1"/>
    <sheet name="Long Version" sheetId="2" state="visible" r:id="rId2"/>
  </sheets>
  <definedNames>
    <definedName name="_xlnm.Print_Area" localSheetId="0">'Short Version'!$B$2:$F$44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#,##0.00\ &quot;€&quot;"/>
    <numFmt numFmtId="165" formatCode="0&quot;qm&quot;"/>
    <numFmt numFmtId="166" formatCode="#,##0\ &quot;€&quot;;[Red]\-#,##0\ &quot;€&quot;"/>
    <numFmt numFmtId="167" formatCode="#,##0.00\ &quot;€&quot;;[Red]\-#,##0.00\ &quot;€&quot;"/>
    <numFmt numFmtId="168" formatCode="0.00&quot;qm&quot;"/>
    <numFmt numFmtId="169" formatCode="0.0%"/>
    <numFmt numFmtId="170" formatCode="0.0"/>
  </numFmts>
  <fonts count="10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rgb="FF0000FF"/>
      <sz val="11"/>
      <scheme val="minor"/>
    </font>
    <font>
      <name val="Aptos Narrow"/>
      <family val="2"/>
      <b val="1"/>
      <color rgb="FF0000FF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sz val="11"/>
      <scheme val="minor"/>
    </font>
    <font>
      <name val="Aptos Narrow"/>
      <family val="2"/>
      <i val="1"/>
      <color rgb="FF808080"/>
      <sz val="10"/>
    </font>
    <font>
      <name val="Aptos Narrow"/>
      <family val="2"/>
      <color rgb="FFFF0000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00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bgColor theme="0" tint="-0.0499893185216834"/>
      </patternFill>
    </fill>
    <fill>
      <patternFill patternType="lightGray">
        <bgColor theme="3" tint="0.8999908444471572"/>
      </patternFill>
    </fill>
    <fill>
      <patternFill patternType="lightGray"/>
    </fill>
    <fill>
      <patternFill patternType="solid">
        <fgColor rgb="FFFFFF00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46592608417"/>
      </bottom>
      <diagonal/>
    </border>
    <border>
      <left style="thin">
        <color indexed="64"/>
      </left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/>
      <top style="thin">
        <color theme="0" tint="-0.249946592608417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medium">
        <color auto="1"/>
      </left>
      <right/>
      <top style="thin">
        <color theme="0" tint="-0.249946592608417"/>
      </top>
      <bottom style="thin">
        <color theme="0" tint="-0.249946592608417"/>
      </bottom>
      <diagonal/>
    </border>
    <border>
      <left style="medium">
        <color auto="1"/>
      </left>
      <right/>
      <top style="thin">
        <color theme="0" tint="-0.249946592608417"/>
      </top>
      <bottom style="medium">
        <color indexed="64"/>
      </bottom>
      <diagonal/>
    </border>
    <border>
      <left style="medium">
        <color auto="1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auto="1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/>
      <top style="thin">
        <color indexed="64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13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right" vertical="center"/>
    </xf>
    <xf numFmtId="164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3" fillId="0" borderId="12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4" applyAlignment="1" pivotButton="0" quotePrefix="0" xfId="0">
      <alignment horizontal="left" vertical="center" indent="1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right" vertical="center"/>
    </xf>
    <xf numFmtId="0" fontId="2" fillId="4" borderId="7" applyAlignment="1" pivotButton="0" quotePrefix="0" xfId="0">
      <alignment vertical="center"/>
    </xf>
    <xf numFmtId="0" fontId="0" fillId="4" borderId="4" applyAlignment="1" pivotButton="0" quotePrefix="0" xfId="0">
      <alignment vertical="center"/>
    </xf>
    <xf numFmtId="0" fontId="2" fillId="4" borderId="7" applyAlignment="1" pivotButton="0" quotePrefix="0" xfId="0">
      <alignment horizontal="left" vertical="center"/>
    </xf>
    <xf numFmtId="165" fontId="2" fillId="4" borderId="7" applyAlignment="1" pivotButton="0" quotePrefix="0" xfId="0">
      <alignment horizontal="left" vertical="center"/>
    </xf>
    <xf numFmtId="14" fontId="2" fillId="4" borderId="7" applyAlignment="1" pivotButton="0" quotePrefix="0" xfId="0">
      <alignment horizontal="left" vertical="center"/>
    </xf>
    <xf numFmtId="165" fontId="2" fillId="4" borderId="9" applyAlignment="1" pivotButton="0" quotePrefix="0" xfId="0">
      <alignment vertical="center"/>
    </xf>
    <xf numFmtId="164" fontId="2" fillId="4" borderId="2" applyAlignment="1" pivotButton="0" quotePrefix="0" xfId="0">
      <alignment vertical="center"/>
    </xf>
    <xf numFmtId="165" fontId="2" fillId="4" borderId="10" applyAlignment="1" pivotButton="0" quotePrefix="0" xfId="0">
      <alignment vertical="center"/>
    </xf>
    <xf numFmtId="164" fontId="2" fillId="4" borderId="3" applyAlignment="1" pivotButton="0" quotePrefix="0" xfId="0">
      <alignment vertical="center"/>
    </xf>
    <xf numFmtId="0" fontId="2" fillId="4" borderId="10" applyAlignment="1" pivotButton="0" quotePrefix="0" xfId="0">
      <alignment vertical="center"/>
    </xf>
    <xf numFmtId="0" fontId="2" fillId="4" borderId="4" applyAlignment="1" pivotButton="0" quotePrefix="0" xfId="0">
      <alignment vertical="center"/>
    </xf>
    <xf numFmtId="0" fontId="2" fillId="4" borderId="6" applyAlignment="1" pivotButton="0" quotePrefix="0" xfId="0">
      <alignment vertical="center"/>
    </xf>
    <xf numFmtId="164" fontId="2" fillId="4" borderId="14" applyAlignment="1" pivotButton="0" quotePrefix="0" xfId="0">
      <alignment vertical="center"/>
    </xf>
    <xf numFmtId="164" fontId="2" fillId="4" borderId="15" applyAlignment="1" pivotButton="0" quotePrefix="0" xfId="0">
      <alignment vertical="center"/>
    </xf>
    <xf numFmtId="164" fontId="2" fillId="4" borderId="16" applyAlignment="1" pivotButton="0" quotePrefix="0" xfId="0">
      <alignment vertical="center"/>
    </xf>
    <xf numFmtId="164" fontId="2" fillId="4" borderId="17" applyAlignment="1" pivotButton="0" quotePrefix="0" xfId="0">
      <alignment vertical="center"/>
    </xf>
    <xf numFmtId="164" fontId="2" fillId="4" borderId="7" applyAlignment="1" pivotButton="0" quotePrefix="0" xfId="0">
      <alignment horizontal="left" vertical="center"/>
    </xf>
    <xf numFmtId="164" fontId="5" fillId="0" borderId="7" applyAlignment="1" pivotButton="0" quotePrefix="0" xfId="0">
      <alignment horizontal="left" vertical="center"/>
    </xf>
    <xf numFmtId="166" fontId="2" fillId="4" borderId="7" applyAlignment="1" pivotButton="0" quotePrefix="0" xfId="0">
      <alignment horizontal="left" vertical="center"/>
    </xf>
    <xf numFmtId="167" fontId="2" fillId="4" borderId="7" applyAlignment="1" pivotButton="0" quotePrefix="0" xfId="0">
      <alignment horizontal="left" vertical="center"/>
    </xf>
    <xf numFmtId="166" fontId="2" fillId="4" borderId="4" applyAlignment="1" pivotButton="0" quotePrefix="0" xfId="0">
      <alignment horizontal="left" vertical="center"/>
    </xf>
    <xf numFmtId="0" fontId="2" fillId="4" borderId="7" applyAlignment="1" pivotButton="0" quotePrefix="0" xfId="0">
      <alignment horizontal="left" vertical="center" wrapText="1"/>
    </xf>
    <xf numFmtId="0" fontId="6" fillId="0" borderId="0" pivotButton="0" quotePrefix="0" xfId="0"/>
    <xf numFmtId="0" fontId="6" fillId="4" borderId="4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164" fontId="2" fillId="4" borderId="2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21" pivotButton="0" quotePrefix="0" xfId="0"/>
    <xf numFmtId="0" fontId="0" fillId="3" borderId="23" applyAlignment="1" pivotButton="0" quotePrefix="0" xfId="0">
      <alignment vertical="center"/>
    </xf>
    <xf numFmtId="0" fontId="2" fillId="4" borderId="24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167" fontId="2" fillId="4" borderId="24" applyAlignment="1" pivotButton="0" quotePrefix="0" xfId="0">
      <alignment horizontal="left" vertical="center"/>
    </xf>
    <xf numFmtId="166" fontId="2" fillId="4" borderId="24" applyAlignment="1" pivotButton="0" quotePrefix="0" xfId="0">
      <alignment horizontal="left" vertical="center"/>
    </xf>
    <xf numFmtId="0" fontId="2" fillId="4" borderId="24" applyAlignment="1" pivotButton="0" quotePrefix="0" xfId="0">
      <alignment horizontal="left" vertical="center"/>
    </xf>
    <xf numFmtId="0" fontId="1" fillId="2" borderId="21" applyAlignment="1" pivotButton="0" quotePrefix="0" xfId="0">
      <alignment vertical="center"/>
    </xf>
    <xf numFmtId="165" fontId="2" fillId="4" borderId="24" applyAlignment="1" pivotButton="0" quotePrefix="0" xfId="0">
      <alignment horizontal="left" vertical="center"/>
    </xf>
    <xf numFmtId="14" fontId="2" fillId="4" borderId="24" applyAlignment="1" pivotButton="0" quotePrefix="0" xfId="0">
      <alignment horizontal="left" vertical="center"/>
    </xf>
    <xf numFmtId="0" fontId="1" fillId="0" borderId="23" applyAlignment="1" pivotButton="0" quotePrefix="0" xfId="0">
      <alignment horizontal="right" vertical="center"/>
    </xf>
    <xf numFmtId="165" fontId="2" fillId="4" borderId="26" applyAlignment="1" pivotButton="0" quotePrefix="0" xfId="0">
      <alignment vertical="center"/>
    </xf>
    <xf numFmtId="165" fontId="2" fillId="4" borderId="27" applyAlignment="1" pivotButton="0" quotePrefix="0" xfId="0">
      <alignment vertical="center"/>
    </xf>
    <xf numFmtId="0" fontId="2" fillId="4" borderId="27" applyAlignment="1" pivotButton="0" quotePrefix="0" xfId="0">
      <alignment vertical="center"/>
    </xf>
    <xf numFmtId="0" fontId="2" fillId="0" borderId="23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1" fillId="2" borderId="23" applyAlignment="1" pivotButton="0" quotePrefix="0" xfId="0">
      <alignment horizontal="left" vertical="center"/>
    </xf>
    <xf numFmtId="0" fontId="2" fillId="4" borderId="28" applyAlignment="1" pivotButton="0" quotePrefix="0" xfId="0">
      <alignment vertical="center"/>
    </xf>
    <xf numFmtId="0" fontId="2" fillId="4" borderId="24" applyAlignment="1" pivotButton="0" quotePrefix="0" xfId="0">
      <alignment vertical="center" wrapText="1"/>
    </xf>
    <xf numFmtId="0" fontId="0" fillId="5" borderId="4" applyAlignment="1" pivotButton="0" quotePrefix="0" xfId="0">
      <alignment vertical="center"/>
    </xf>
    <xf numFmtId="0" fontId="2" fillId="5" borderId="24" applyAlignment="1" pivotButton="0" quotePrefix="0" xfId="0">
      <alignment vertical="center"/>
    </xf>
    <xf numFmtId="14" fontId="2" fillId="5" borderId="7" applyAlignment="1" pivotButton="0" quotePrefix="0" xfId="0">
      <alignment horizontal="left" vertical="center"/>
    </xf>
    <xf numFmtId="0" fontId="2" fillId="5" borderId="10" applyAlignment="1" pivotButton="0" quotePrefix="0" xfId="0">
      <alignment vertical="center"/>
    </xf>
    <xf numFmtId="164" fontId="2" fillId="5" borderId="3" applyAlignment="1" pivotButton="0" quotePrefix="0" xfId="0">
      <alignment vertical="center"/>
    </xf>
    <xf numFmtId="165" fontId="2" fillId="0" borderId="7" applyAlignment="1" pivotButton="0" quotePrefix="0" xfId="0">
      <alignment horizontal="left" vertical="center"/>
    </xf>
    <xf numFmtId="0" fontId="7" fillId="0" borderId="0" applyAlignment="1" pivotButton="0" quotePrefix="0" xfId="0">
      <alignment vertical="center"/>
    </xf>
    <xf numFmtId="168" fontId="2" fillId="4" borderId="10" applyAlignment="1" pivotButton="0" quotePrefix="0" xfId="0">
      <alignment vertical="center"/>
    </xf>
    <xf numFmtId="0" fontId="1" fillId="6" borderId="21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0" fontId="2" fillId="7" borderId="24" applyAlignment="1" pivotButton="0" quotePrefix="0" xfId="0">
      <alignment horizontal="left" vertical="center"/>
    </xf>
    <xf numFmtId="0" fontId="0" fillId="7" borderId="4" applyAlignment="1" pivotButton="0" quotePrefix="0" xfId="0">
      <alignment vertical="center"/>
    </xf>
    <xf numFmtId="165" fontId="2" fillId="7" borderId="24" applyAlignment="1" pivotButton="0" quotePrefix="0" xfId="0">
      <alignment horizontal="left" vertical="center"/>
    </xf>
    <xf numFmtId="14" fontId="2" fillId="7" borderId="24" applyAlignment="1" pivotButton="0" quotePrefix="0" xfId="0">
      <alignment horizontal="left" vertical="center"/>
    </xf>
    <xf numFmtId="0" fontId="0" fillId="8" borderId="21" pivotButton="0" quotePrefix="0" xfId="0"/>
    <xf numFmtId="0" fontId="0" fillId="8" borderId="0" applyAlignment="1" pivotButton="0" quotePrefix="0" xfId="0">
      <alignment vertical="center"/>
    </xf>
    <xf numFmtId="0" fontId="1" fillId="8" borderId="23" applyAlignment="1" pivotButton="0" quotePrefix="0" xfId="0">
      <alignment horizontal="right" vertical="center"/>
    </xf>
    <xf numFmtId="0" fontId="1" fillId="8" borderId="1" applyAlignment="1" pivotButton="0" quotePrefix="0" xfId="0">
      <alignment horizontal="right" vertical="center"/>
    </xf>
    <xf numFmtId="165" fontId="2" fillId="7" borderId="26" applyAlignment="1" pivotButton="0" quotePrefix="0" xfId="0">
      <alignment vertical="center"/>
    </xf>
    <xf numFmtId="164" fontId="2" fillId="7" borderId="2" applyAlignment="1" pivotButton="0" quotePrefix="0" xfId="0">
      <alignment vertical="center"/>
    </xf>
    <xf numFmtId="164" fontId="0" fillId="8" borderId="0" applyAlignment="1" pivotButton="0" quotePrefix="0" xfId="0">
      <alignment vertical="center"/>
    </xf>
    <xf numFmtId="165" fontId="2" fillId="7" borderId="27" applyAlignment="1" pivotButton="0" quotePrefix="0" xfId="0">
      <alignment vertical="center"/>
    </xf>
    <xf numFmtId="164" fontId="2" fillId="7" borderId="3" applyAlignment="1" pivotButton="0" quotePrefix="0" xfId="0">
      <alignment vertical="center"/>
    </xf>
    <xf numFmtId="0" fontId="2" fillId="7" borderId="27" applyAlignment="1" pivotButton="0" quotePrefix="0" xfId="0">
      <alignment vertical="center"/>
    </xf>
    <xf numFmtId="0" fontId="2" fillId="8" borderId="23" applyAlignment="1" pivotButton="0" quotePrefix="0" xfId="0">
      <alignment vertical="center"/>
    </xf>
    <xf numFmtId="164" fontId="2" fillId="8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  <xf numFmtId="0" fontId="3" fillId="8" borderId="21" applyAlignment="1" pivotButton="0" quotePrefix="0" xfId="0">
      <alignment vertical="center"/>
    </xf>
    <xf numFmtId="164" fontId="3" fillId="8" borderId="0" applyAlignment="1" pivotButton="0" quotePrefix="0" xfId="0">
      <alignment vertical="center"/>
    </xf>
    <xf numFmtId="164" fontId="1" fillId="8" borderId="0" applyAlignment="1" pivotButton="0" quotePrefix="0" xfId="0">
      <alignment vertical="center"/>
    </xf>
    <xf numFmtId="0" fontId="0" fillId="8" borderId="25" applyAlignment="1" pivotButton="0" quotePrefix="0" xfId="0">
      <alignment vertical="center"/>
    </xf>
    <xf numFmtId="0" fontId="0" fillId="8" borderId="5" applyAlignment="1" pivotButton="0" quotePrefix="0" xfId="0">
      <alignment vertical="center"/>
    </xf>
    <xf numFmtId="164" fontId="2" fillId="4" borderId="7" applyAlignment="1" pivotButton="0" quotePrefix="0" xfId="0">
      <alignment vertical="center"/>
    </xf>
    <xf numFmtId="169" fontId="8" fillId="4" borderId="7" applyAlignment="1" pivotButton="0" quotePrefix="0" xfId="0">
      <alignment vertical="center"/>
    </xf>
    <xf numFmtId="170" fontId="2" fillId="4" borderId="7" applyAlignment="1" pivotButton="0" quotePrefix="0" xfId="0">
      <alignment vertical="center"/>
    </xf>
    <xf numFmtId="164" fontId="8" fillId="4" borderId="7" applyAlignment="1" pivotButton="0" quotePrefix="0" xfId="0">
      <alignment vertical="center"/>
    </xf>
    <xf numFmtId="0" fontId="8" fillId="4" borderId="7" applyAlignment="1" pivotButton="0" quotePrefix="0" xfId="0">
      <alignment vertical="center"/>
    </xf>
    <xf numFmtId="165" fontId="2" fillId="9" borderId="9" applyAlignment="1" pivotButton="0" quotePrefix="0" xfId="0">
      <alignment vertical="center"/>
    </xf>
    <xf numFmtId="164" fontId="2" fillId="9" borderId="2" applyAlignment="1" pivotButton="0" quotePrefix="0" xfId="0">
      <alignment vertical="center"/>
    </xf>
    <xf numFmtId="164" fontId="0" fillId="9" borderId="0" applyAlignment="1" pivotButton="0" quotePrefix="0" xfId="0">
      <alignment vertical="center"/>
    </xf>
    <xf numFmtId="165" fontId="2" fillId="9" borderId="26" applyAlignment="1" pivotButton="0" quotePrefix="0" xfId="0">
      <alignment vertical="center"/>
    </xf>
    <xf numFmtId="0" fontId="2" fillId="4" borderId="7" applyAlignment="1" pivotButton="0" quotePrefix="0" xfId="0">
      <alignment horizontal="left" vertical="center" wrapText="1"/>
    </xf>
    <xf numFmtId="0" fontId="0" fillId="0" borderId="4" pivotButton="0" quotePrefix="0" xfId="0"/>
    <xf numFmtId="0" fontId="2" fillId="2" borderId="13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2" fillId="4" borderId="24" applyAlignment="1" pivotButton="0" quotePrefix="0" xfId="0">
      <alignment horizontal="left" vertical="center" wrapText="1"/>
    </xf>
    <xf numFmtId="0" fontId="2" fillId="2" borderId="22" applyAlignment="1" pivotButton="0" quotePrefix="0" xfId="0">
      <alignment vertical="center"/>
    </xf>
    <xf numFmtId="167" fontId="2" fillId="4" borderId="7" applyAlignment="1" pivotButton="0" quotePrefix="0" xfId="0">
      <alignment horizontal="left" vertical="center"/>
    </xf>
    <xf numFmtId="167" fontId="2" fillId="4" borderId="24" applyAlignment="1" pivotButton="0" quotePrefix="0" xfId="0">
      <alignment horizontal="left" vertical="center"/>
    </xf>
    <xf numFmtId="166" fontId="2" fillId="4" borderId="7" applyAlignment="1" pivotButton="0" quotePrefix="0" xfId="0">
      <alignment horizontal="left" vertical="center"/>
    </xf>
    <xf numFmtId="166" fontId="2" fillId="4" borderId="4" applyAlignment="1" pivotButton="0" quotePrefix="0" xfId="0">
      <alignment horizontal="left" vertical="center"/>
    </xf>
    <xf numFmtId="166" fontId="2" fillId="4" borderId="24" applyAlignment="1" pivotButton="0" quotePrefix="0" xfId="0">
      <alignment horizontal="left" vertical="center"/>
    </xf>
    <xf numFmtId="168" fontId="2" fillId="4" borderId="10" applyAlignment="1" pivotButton="0" quotePrefix="0" xfId="0">
      <alignment vertical="center"/>
    </xf>
    <xf numFmtId="0" fontId="0" fillId="0" borderId="32" pivotButton="0" quotePrefix="0" xfId="0"/>
    <xf numFmtId="0" fontId="9" fillId="3" borderId="1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170" fontId="2" fillId="4" borderId="7" applyAlignment="1" pivotButton="0" quotePrefix="0" xfId="0">
      <alignment vertical="center"/>
    </xf>
    <xf numFmtId="0" fontId="9" fillId="0" borderId="1" applyAlignment="1" pivotButton="0" quotePrefix="0" xfId="0">
      <alignment horizontal="right" vertical="center"/>
    </xf>
    <xf numFmtId="4" fontId="2" fillId="4" borderId="7" applyAlignment="1" pivotButton="0" quotePrefix="0" xfId="0">
      <alignment vertical="center"/>
    </xf>
    <xf numFmtId="170" fontId="8" fillId="4" borderId="7" applyAlignment="1" pivotButton="0" quotePrefix="0" xfId="0">
      <alignment vertical="center"/>
    </xf>
    <xf numFmtId="10" fontId="8" fillId="4" borderId="7" applyAlignment="1" pivotButton="0" quotePrefix="0" xfId="0">
      <alignment vertical="center"/>
    </xf>
    <xf numFmtId="0" fontId="9" fillId="0" borderId="4" applyAlignment="1" pivotButton="0" quotePrefix="0" xfId="0">
      <alignment vertical="center"/>
    </xf>
    <xf numFmtId="164" fontId="9" fillId="4" borderId="7" applyAlignment="1" pivotButton="0" quotePrefix="0" xfId="0">
      <alignment vertical="center"/>
    </xf>
    <xf numFmtId="10" fontId="9" fillId="4" borderId="7" applyAlignment="1" pivotButton="0" quotePrefix="0" xfId="0">
      <alignment vertical="center"/>
    </xf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43"/>
  <sheetViews>
    <sheetView showGridLines="0" zoomScale="156" zoomScaleNormal="104" zoomScaleSheetLayoutView="124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23" sqref="C23"/>
    </sheetView>
  </sheetViews>
  <sheetFormatPr baseColWidth="10" defaultColWidth="11.42578125" defaultRowHeight="15"/>
  <cols>
    <col width="3.85546875" customWidth="1" style="2" min="1" max="1"/>
    <col width="37.85546875" bestFit="1" customWidth="1" style="2" min="2" max="2"/>
    <col width="34.85546875" bestFit="1" customWidth="1" style="2" min="3" max="3"/>
    <col width="12.85546875" customWidth="1" style="2" min="4" max="6"/>
    <col width="11.42578125" customWidth="1" style="2" min="7" max="11"/>
    <col width="11.42578125" customWidth="1" style="2" min="12" max="16384"/>
  </cols>
  <sheetData>
    <row r="2">
      <c r="B2" s="1" t="inlineStr">
        <is>
          <t>Übersicht Mietvertragskonditionen</t>
        </is>
      </c>
    </row>
    <row r="4">
      <c r="B4" s="3" t="inlineStr">
        <is>
          <t>Standort:</t>
        </is>
      </c>
      <c r="C4" s="25" t="inlineStr">
        <is>
          <t xml:space="preserve">Würselen </t>
        </is>
      </c>
      <c r="D4" s="25" t="inlineStr">
        <is>
          <t>Baesweiler</t>
        </is>
      </c>
      <c r="E4" s="47" t="n"/>
    </row>
    <row r="6">
      <c r="B6" s="4" t="inlineStr">
        <is>
          <t>Eckdaten der Immobilie</t>
        </is>
      </c>
      <c r="C6" s="5" t="n"/>
      <c r="D6" s="5" t="n"/>
      <c r="E6" s="5" t="n"/>
      <c r="F6" s="5" t="n"/>
    </row>
    <row r="7">
      <c r="B7" s="6" t="inlineStr">
        <is>
          <t>Eigentümer</t>
        </is>
      </c>
      <c r="C7" s="25" t="inlineStr">
        <is>
          <t>Beginen Kempe GbR</t>
        </is>
      </c>
      <c r="D7" s="25" t="inlineStr">
        <is>
          <t>Jans &amp; Willems GbR</t>
        </is>
      </c>
      <c r="E7" s="26" t="n"/>
      <c r="F7" s="26" t="n"/>
    </row>
    <row r="8">
      <c r="B8" s="6" t="inlineStr">
        <is>
          <t>Vermieter</t>
        </is>
      </c>
      <c r="C8" s="25" t="inlineStr">
        <is>
          <t>Beginen Kempe GbR</t>
        </is>
      </c>
      <c r="D8" s="25" t="inlineStr">
        <is>
          <t>Jans &amp; Willems GbR</t>
        </is>
      </c>
      <c r="E8" s="48" t="n"/>
      <c r="F8" s="26" t="n"/>
    </row>
    <row r="9">
      <c r="B9" s="6" t="inlineStr">
        <is>
          <t>Mieter</t>
        </is>
      </c>
      <c r="C9" s="25" t="inlineStr">
        <is>
          <t>AirHome Intensivpflege GmbH</t>
        </is>
      </c>
      <c r="D9" s="25" t="inlineStr">
        <is>
          <t>365° Pflegezentrum Marianne Weiß GmbH</t>
        </is>
      </c>
      <c r="E9" s="48" t="n"/>
      <c r="F9" s="26" t="n"/>
    </row>
    <row r="10">
      <c r="B10" s="6" t="inlineStr">
        <is>
          <t>Cluster</t>
        </is>
      </c>
      <c r="C10" s="25" t="inlineStr">
        <is>
          <t>StädteRegion Aachen</t>
        </is>
      </c>
      <c r="D10" s="25" t="inlineStr">
        <is>
          <t>StädteRegion Aachen</t>
        </is>
      </c>
      <c r="E10" s="48" t="n"/>
      <c r="F10" s="26" t="n"/>
    </row>
    <row r="11">
      <c r="B11" s="6" t="inlineStr">
        <is>
          <t>Adresse</t>
        </is>
      </c>
      <c r="C11" s="25" t="inlineStr">
        <is>
          <t>Mauerfeldchen 27, 52146 Würselen</t>
        </is>
      </c>
      <c r="D11" s="25" t="inlineStr">
        <is>
          <t>Lessingstr. 3, 52499 Baesweiler</t>
        </is>
      </c>
      <c r="E11" s="26" t="n"/>
      <c r="F11" s="26" t="n"/>
    </row>
    <row r="12">
      <c r="B12" s="6" t="inlineStr">
        <is>
          <t>Expansion oder Replacement?</t>
        </is>
      </c>
      <c r="C12" s="25" t="inlineStr">
        <is>
          <t>Expansion</t>
        </is>
      </c>
      <c r="D12" s="25" t="inlineStr">
        <is>
          <t>XXX</t>
        </is>
      </c>
      <c r="E12" s="48" t="n"/>
      <c r="F12" s="26" t="n"/>
    </row>
    <row r="13">
      <c r="B13" s="6" t="inlineStr">
        <is>
          <t>Neubau oder Bestand? Baujahr?</t>
        </is>
      </c>
      <c r="C13" s="25" t="inlineStr">
        <is>
          <t>Bestand</t>
        </is>
      </c>
      <c r="D13" s="25" t="inlineStr">
        <is>
          <t>Bestand</t>
        </is>
      </c>
      <c r="E13" s="48" t="n"/>
      <c r="F13" s="26" t="n"/>
    </row>
    <row r="14">
      <c r="B14" s="6" t="inlineStr">
        <is>
          <t>Lage der Mietfläche (z.B. EG, 1. OG)</t>
        </is>
      </c>
      <c r="C14" s="25" t="inlineStr">
        <is>
          <t>1., 2., 3. und 4. OG; Keller</t>
        </is>
      </c>
      <c r="D14" s="25" t="inlineStr">
        <is>
          <t>XXX</t>
        </is>
      </c>
      <c r="E14" s="48" t="n"/>
      <c r="F14" s="26" t="n"/>
    </row>
    <row r="15">
      <c r="B15" s="6" t="inlineStr">
        <is>
          <t>Kapazität (Anzahl Betten)</t>
        </is>
      </c>
      <c r="C15" s="27" t="n">
        <v>17</v>
      </c>
      <c r="D15" s="27" t="n">
        <v>18</v>
      </c>
      <c r="E15" s="48" t="n"/>
      <c r="F15" s="26" t="n"/>
    </row>
    <row r="16">
      <c r="B16" s="6" t="inlineStr">
        <is>
          <t>Beschreibung der Nutzung</t>
        </is>
      </c>
      <c r="C16" s="25" t="inlineStr">
        <is>
          <t>Wohnheim mit Intensivpflege</t>
        </is>
      </c>
      <c r="D16" s="25" t="inlineStr">
        <is>
          <t>Intensivpflege-Wohngemeinschaft</t>
        </is>
      </c>
      <c r="E16" s="26" t="n"/>
      <c r="F16" s="26" t="n"/>
    </row>
    <row r="17">
      <c r="B17" s="6" t="inlineStr">
        <is>
          <t>Bürofläche enthalten?</t>
        </is>
      </c>
      <c r="C17" s="25" t="inlineStr">
        <is>
          <t>nur Nebenflächen</t>
        </is>
      </c>
      <c r="D17" s="25" t="inlineStr">
        <is>
          <t>Ja</t>
        </is>
      </c>
      <c r="E17" s="48" t="n"/>
      <c r="F17" s="26" t="n"/>
    </row>
    <row r="18">
      <c r="B18" s="6" t="n"/>
      <c r="C18" s="6" t="n"/>
      <c r="D18" s="6" t="n"/>
      <c r="E18" s="6" t="n"/>
      <c r="F18" s="6" t="n"/>
    </row>
    <row r="19">
      <c r="B19" s="4" t="inlineStr">
        <is>
          <t>Miete und weitere Kosten</t>
        </is>
      </c>
      <c r="C19" s="5" t="n"/>
      <c r="D19" s="5" t="n"/>
      <c r="E19" s="5" t="n"/>
      <c r="F19" s="5" t="n"/>
    </row>
    <row r="20">
      <c r="B20" s="6" t="inlineStr">
        <is>
          <t>Größe der Fläche (in qm)</t>
        </is>
      </c>
      <c r="C20" s="28" t="n">
        <v>1104.6</v>
      </c>
      <c r="D20" s="28" t="n">
        <v>1082</v>
      </c>
      <c r="E20" s="48" t="n"/>
      <c r="F20" s="26" t="n"/>
    </row>
    <row r="21">
      <c r="B21" s="6" t="inlineStr">
        <is>
          <t>qm/Bett</t>
        </is>
      </c>
      <c r="C21" s="77">
        <f>+C20/C15</f>
        <v/>
      </c>
      <c r="D21" s="77">
        <f>+D20/D15</f>
        <v/>
      </c>
      <c r="E21" s="49" t="n"/>
      <c r="F21" s="6" t="n"/>
    </row>
    <row r="22">
      <c r="B22" s="6" t="inlineStr">
        <is>
          <t>Nettokaltmiete/qm</t>
        </is>
      </c>
      <c r="C22" s="41" t="n">
        <v>12.5</v>
      </c>
      <c r="D22" s="41">
        <f>+D23/D20</f>
        <v/>
      </c>
      <c r="E22" s="48" t="n"/>
      <c r="F22" s="26" t="n"/>
    </row>
    <row r="23">
      <c r="B23" s="6" t="inlineStr">
        <is>
          <t>Nettokaltmiete pro Monat</t>
        </is>
      </c>
      <c r="C23" s="42">
        <f>+C22*C20</f>
        <v/>
      </c>
      <c r="D23" s="42" t="n">
        <v>8500</v>
      </c>
      <c r="E23" s="6" t="n"/>
      <c r="F23" s="6" t="n"/>
    </row>
    <row r="24">
      <c r="B24" s="6" t="inlineStr">
        <is>
          <t>Nettokaltmiete pro Jahr</t>
        </is>
      </c>
      <c r="C24" s="42">
        <f>+C23*12</f>
        <v/>
      </c>
      <c r="D24" s="42">
        <f>+D23*12</f>
        <v/>
      </c>
      <c r="E24" s="6" t="n"/>
      <c r="F24" s="6" t="n"/>
    </row>
    <row r="25">
      <c r="B25" s="6" t="inlineStr">
        <is>
          <t>Nebenkosten/qm</t>
        </is>
      </c>
      <c r="C25" s="41" t="n">
        <v>3.5</v>
      </c>
      <c r="D25" s="41">
        <f>+D26/D20</f>
        <v/>
      </c>
      <c r="E25" s="26" t="n"/>
      <c r="F25" s="26" t="n"/>
    </row>
    <row r="26">
      <c r="B26" s="6" t="inlineStr">
        <is>
          <t>Nebenkosten pro Monat</t>
        </is>
      </c>
      <c r="C26" s="42">
        <f>+C25*C20</f>
        <v/>
      </c>
      <c r="D26" s="42" t="n">
        <v>4700</v>
      </c>
      <c r="E26" s="49" t="n"/>
      <c r="F26" s="6" t="n"/>
    </row>
    <row r="27">
      <c r="B27" s="6" t="inlineStr">
        <is>
          <t>Nebenkosten pro Jahr</t>
        </is>
      </c>
      <c r="C27" s="42">
        <f>+C26*12</f>
        <v/>
      </c>
      <c r="D27" s="42">
        <f>+D26*12</f>
        <v/>
      </c>
      <c r="E27" s="6" t="n"/>
      <c r="F27" s="6" t="n"/>
    </row>
    <row r="28">
      <c r="B28" s="6" t="inlineStr">
        <is>
          <t>Anzahl Stellplätze</t>
        </is>
      </c>
      <c r="C28" s="27" t="n">
        <v>14</v>
      </c>
      <c r="D28" s="27" t="n">
        <v>0</v>
      </c>
      <c r="E28" s="48" t="n"/>
      <c r="F28" s="26" t="n"/>
    </row>
    <row r="29">
      <c r="B29" s="6" t="inlineStr">
        <is>
          <t>Preis pro Stellplatz</t>
        </is>
      </c>
      <c r="C29" s="41" t="n">
        <v>47.14285714285715</v>
      </c>
      <c r="D29" s="41" t="n">
        <v>0</v>
      </c>
      <c r="E29" s="26" t="n"/>
      <c r="F29" s="26" t="n"/>
    </row>
    <row r="30">
      <c r="B30" s="6" t="inlineStr">
        <is>
          <t>Kosten Stellplätze pro Monat</t>
        </is>
      </c>
      <c r="C30" s="42">
        <f>+C28*C29</f>
        <v/>
      </c>
      <c r="D30" s="42">
        <f>+D28*D29</f>
        <v/>
      </c>
      <c r="E30" s="6" t="n"/>
      <c r="F30" s="6" t="n"/>
    </row>
    <row r="31">
      <c r="B31" s="6" t="inlineStr">
        <is>
          <t>Kosten Stellplätze pro Jahr</t>
        </is>
      </c>
      <c r="C31" s="42">
        <f>+C30*12</f>
        <v/>
      </c>
      <c r="D31" s="42">
        <f>+D30*12</f>
        <v/>
      </c>
      <c r="E31" s="6" t="n"/>
      <c r="F31" s="6" t="n"/>
    </row>
    <row r="32">
      <c r="B32" s="6" t="inlineStr">
        <is>
          <t>Weitere Kosten (Terasse, Verwaltung etc.)</t>
        </is>
      </c>
      <c r="C32" s="25" t="inlineStr">
        <is>
          <t>Keller 443 €/Mon.</t>
        </is>
      </c>
      <c r="D32" s="25" t="inlineStr">
        <is>
          <t>Strom separat; Inventar gestellt</t>
        </is>
      </c>
      <c r="E32" s="26" t="n"/>
      <c r="F32" s="26" t="n"/>
    </row>
    <row r="33">
      <c r="B33" s="6" t="inlineStr">
        <is>
          <t>Baukostenzuschuss in €</t>
        </is>
      </c>
      <c r="C33" s="41" t="inlineStr">
        <is>
          <t>Statik 1. OG 600 €/Mon.</t>
        </is>
      </c>
      <c r="D33" s="41" t="n">
        <v>0</v>
      </c>
      <c r="E33" s="26" t="n"/>
      <c r="F33" s="26" t="n"/>
    </row>
    <row r="34">
      <c r="B34" s="6" t="inlineStr">
        <is>
          <t>Erläuterung Baukostenzuschuss</t>
        </is>
      </c>
      <c r="C34" s="25" t="inlineStr">
        <is>
          <t xml:space="preserve"> faktisch 600 €/Mon. für Statik = BKZ?</t>
        </is>
      </c>
      <c r="D34" s="25" t="inlineStr">
        <is>
          <t>kein BKZ; Inventar gestellt</t>
        </is>
      </c>
      <c r="E34" s="48" t="n"/>
      <c r="F34" s="26" t="n"/>
    </row>
    <row r="35">
      <c r="B35" s="6" t="inlineStr">
        <is>
          <t>Capex</t>
        </is>
      </c>
      <c r="C35" s="41" t="n">
        <v>0</v>
      </c>
      <c r="D35" s="41" t="n">
        <v>0</v>
      </c>
      <c r="E35" s="48" t="n"/>
      <c r="F35" s="26" t="n"/>
    </row>
    <row r="36">
      <c r="B36" s="6" t="n"/>
      <c r="C36" s="6" t="n"/>
      <c r="D36" s="6" t="n"/>
      <c r="E36" s="6" t="n"/>
      <c r="F36" s="6" t="n"/>
    </row>
    <row r="37">
      <c r="B37" s="4" t="inlineStr">
        <is>
          <t>Laufzeit etc.</t>
        </is>
      </c>
      <c r="C37" s="5" t="n"/>
      <c r="D37" s="5" t="n"/>
      <c r="E37" s="5" t="n"/>
      <c r="F37" s="5" t="n"/>
    </row>
    <row r="38">
      <c r="B38" s="6" t="inlineStr">
        <is>
          <t>Geplanter Mietbeginn</t>
        </is>
      </c>
      <c r="C38" s="29" t="n">
        <v>44301</v>
      </c>
      <c r="D38" s="29" t="inlineStr">
        <is>
          <t>XXX</t>
        </is>
      </c>
      <c r="E38" s="48" t="n"/>
      <c r="F38" s="26" t="n"/>
    </row>
    <row r="39">
      <c r="B39" s="6" t="inlineStr">
        <is>
          <t>Festlaufzeit</t>
        </is>
      </c>
      <c r="C39" s="25" t="inlineStr">
        <is>
          <t>10 Jahre</t>
        </is>
      </c>
      <c r="D39" s="25" t="inlineStr">
        <is>
          <t>5 Jahre</t>
        </is>
      </c>
      <c r="E39" s="48" t="n"/>
      <c r="F39" s="26" t="n"/>
    </row>
    <row r="40">
      <c r="B40" s="6" t="inlineStr">
        <is>
          <t>Verlängerungsoptionen</t>
        </is>
      </c>
      <c r="C40" s="25" t="inlineStr">
        <is>
          <t>2x 5 Jahre</t>
        </is>
      </c>
      <c r="D40" s="25" t="inlineStr">
        <is>
          <t>2x 5 Jahre</t>
        </is>
      </c>
      <c r="E40" s="26" t="n"/>
      <c r="F40" s="26" t="n"/>
    </row>
    <row r="41">
      <c r="B41" s="6" t="inlineStr">
        <is>
          <t>Wertsicherung (VPI/Staffelmiete etc.)</t>
        </is>
      </c>
      <c r="C41" s="25" t="inlineStr">
        <is>
          <t>volle Indexveränderung ab &gt;5%</t>
        </is>
      </c>
      <c r="D41" s="25" t="inlineStr">
        <is>
          <t>keine; Miete 10 Jahre fest</t>
        </is>
      </c>
      <c r="E41" s="26" t="n"/>
      <c r="F41" s="26" t="n"/>
    </row>
    <row r="42">
      <c r="B42" s="6" t="inlineStr">
        <is>
          <t>Mietsicherheit</t>
        </is>
      </c>
      <c r="C42" s="25" t="inlineStr">
        <is>
          <t>Bankbürgschaft, 3 Bruttomonatsmieten</t>
        </is>
      </c>
      <c r="D42" s="25" t="inlineStr">
        <is>
          <t>Patronatserklärung, 1 Jahreskaltmiete</t>
        </is>
      </c>
      <c r="E42" s="48" t="n"/>
      <c r="F42" s="26" t="n"/>
    </row>
    <row r="43" ht="6.75" customHeight="1" thickBot="1">
      <c r="B43" s="7" t="n"/>
      <c r="C43" s="8" t="n"/>
      <c r="D43" s="7" t="n"/>
      <c r="E43" s="7" t="n"/>
      <c r="F43" s="7" t="n"/>
    </row>
  </sheetData>
  <pageMargins left="0.5118110236220472" right="0.5118110236220472" top="0.7874015748031497" bottom="0.7874015748031497" header="0.3149606299212598" footer="0.3149606299212598"/>
  <pageSetup orientation="portrait" paperSize="9" scale="8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217"/>
  <sheetViews>
    <sheetView showGridLines="0" tabSelected="1" topLeftCell="A101" zoomScale="87" workbookViewId="0">
      <selection activeCell="B157" sqref="B157"/>
    </sheetView>
  </sheetViews>
  <sheetFormatPr baseColWidth="10" defaultColWidth="11.42578125" defaultRowHeight="15" outlineLevelRow="1"/>
  <cols>
    <col width="3.85546875" customWidth="1" style="2" min="1" max="1"/>
    <col width="44.28515625" customWidth="1" style="2" min="2" max="2"/>
    <col width="42.140625" customWidth="1" style="2" min="3" max="3"/>
    <col width="12.85546875" customWidth="1" style="2" min="4" max="6"/>
    <col width="35.42578125" customWidth="1" style="51" min="7" max="7"/>
    <col width="12.85546875" customWidth="1" style="2" min="8" max="8"/>
    <col width="11.42578125" customWidth="1" style="2" min="9" max="9"/>
    <col width="12.85546875" bestFit="1" customWidth="1" style="2" min="10" max="11"/>
    <col width="11.42578125" customWidth="1" style="2" min="12" max="12"/>
    <col width="11.42578125" customWidth="1" style="2" min="13" max="16384"/>
  </cols>
  <sheetData>
    <row r="2">
      <c r="B2" s="1" t="inlineStr">
        <is>
          <t>Übersicht Mietvertragskonditionen</t>
        </is>
      </c>
      <c r="G2" s="52" t="n"/>
    </row>
    <row r="3">
      <c r="G3" s="52" t="n"/>
    </row>
    <row r="4">
      <c r="B4" s="3" t="inlineStr">
        <is>
          <t>Standort:</t>
        </is>
      </c>
      <c r="C4" s="115" t="inlineStr">
        <is>
          <t>Würselen (Target)</t>
        </is>
      </c>
      <c r="D4" s="116" t="n"/>
      <c r="E4" s="116" t="n"/>
      <c r="F4" s="117" t="n"/>
      <c r="G4" s="119" t="inlineStr">
        <is>
          <t>Baesweiler (Bestand)</t>
        </is>
      </c>
      <c r="H4" s="116" t="n"/>
      <c r="I4" s="116" t="n"/>
      <c r="J4" s="117" t="n"/>
    </row>
    <row r="5">
      <c r="G5" s="52" t="n"/>
    </row>
    <row r="6">
      <c r="B6" s="4" t="inlineStr">
        <is>
          <t>Eckdaten</t>
        </is>
      </c>
      <c r="C6" s="5" t="n"/>
      <c r="D6" s="5" t="n"/>
      <c r="E6" s="5" t="n"/>
      <c r="F6" s="5" t="n"/>
      <c r="G6" s="53" t="n"/>
      <c r="H6" s="5" t="n"/>
      <c r="I6" s="5" t="n"/>
      <c r="J6" s="5" t="n"/>
      <c r="L6" s="47" t="n"/>
    </row>
    <row r="7">
      <c r="B7" s="6" t="inlineStr">
        <is>
          <t>Eigentümer</t>
        </is>
      </c>
      <c r="C7" s="25" t="inlineStr">
        <is>
          <t>Beginen Kempe GbR</t>
        </is>
      </c>
      <c r="D7" s="26" t="n"/>
      <c r="E7" s="26" t="n"/>
      <c r="F7" s="26" t="n"/>
      <c r="G7" s="54" t="inlineStr">
        <is>
          <t>Jans &amp; Willems GbR</t>
        </is>
      </c>
      <c r="H7" s="26" t="n"/>
      <c r="I7" s="26" t="n"/>
      <c r="J7" s="26" t="n"/>
    </row>
    <row r="8">
      <c r="B8" s="6" t="inlineStr">
        <is>
          <t>Vermieter</t>
        </is>
      </c>
      <c r="C8" s="25" t="inlineStr">
        <is>
          <t>Beginen Kempe GbR</t>
        </is>
      </c>
      <c r="D8" s="26" t="n"/>
      <c r="E8" s="26" t="n"/>
      <c r="F8" s="26" t="n"/>
      <c r="G8" s="54" t="inlineStr">
        <is>
          <t>Jans &amp; Willems GbR</t>
        </is>
      </c>
      <c r="H8" s="26" t="n"/>
      <c r="I8" s="26" t="n"/>
      <c r="J8" s="26" t="n"/>
      <c r="L8" s="47" t="n"/>
    </row>
    <row r="9">
      <c r="B9" s="6" t="inlineStr">
        <is>
          <t>Mieter</t>
        </is>
      </c>
      <c r="C9" s="25" t="inlineStr">
        <is>
          <t>AirHome Intensivpflege GmbH</t>
        </is>
      </c>
      <c r="D9" s="26" t="n"/>
      <c r="E9" s="26" t="n"/>
      <c r="F9" s="26" t="n"/>
      <c r="G9" s="54" t="inlineStr">
        <is>
          <t>365° Pflegezentrum Marianne Weiß GmbH</t>
        </is>
      </c>
      <c r="H9" s="26" t="n"/>
      <c r="I9" s="26" t="n"/>
      <c r="J9" s="26" t="n"/>
      <c r="L9" s="47" t="n"/>
    </row>
    <row r="10">
      <c r="B10" s="6" t="inlineStr">
        <is>
          <t>Adresse</t>
        </is>
      </c>
      <c r="C10" s="25" t="inlineStr">
        <is>
          <t>Mauerfeldchen 27, 52146 Würselen</t>
        </is>
      </c>
      <c r="D10" s="26" t="n"/>
      <c r="E10" s="26" t="n"/>
      <c r="F10" s="26" t="n"/>
      <c r="G10" s="54" t="inlineStr">
        <is>
          <t>Lessingstr. 3, 52499 Baesweiler</t>
        </is>
      </c>
      <c r="H10" s="26" t="n"/>
      <c r="I10" s="26" t="n"/>
      <c r="J10" s="26" t="n"/>
    </row>
    <row r="11">
      <c r="B11" s="6" t="inlineStr">
        <is>
          <t>Baujahr der Immobilie</t>
        </is>
      </c>
      <c r="C11" s="25" t="inlineStr">
        <is>
          <t>XXX</t>
        </is>
      </c>
      <c r="D11" s="26" t="n"/>
      <c r="E11" s="26" t="n"/>
      <c r="F11" s="26" t="n"/>
      <c r="G11" s="54" t="inlineStr">
        <is>
          <t>XXX</t>
        </is>
      </c>
      <c r="H11" s="26" t="n"/>
      <c r="I11" s="26" t="n"/>
      <c r="J11" s="26" t="n"/>
      <c r="L11" s="47" t="n"/>
    </row>
    <row r="12">
      <c r="B12" s="6" t="inlineStr">
        <is>
          <t>Mietzweck</t>
        </is>
      </c>
      <c r="C12" s="25" t="inlineStr">
        <is>
          <t>Wohnheim mit Intensivpflege</t>
        </is>
      </c>
      <c r="D12" s="26" t="n"/>
      <c r="E12" s="26" t="n"/>
      <c r="F12" s="26" t="n"/>
      <c r="G12" s="54" t="inlineStr">
        <is>
          <t>Intensivpflege-WG</t>
        </is>
      </c>
      <c r="H12" s="26" t="n"/>
      <c r="I12" s="26" t="n"/>
      <c r="J12" s="26" t="n"/>
    </row>
    <row r="13">
      <c r="B13" s="6" t="inlineStr">
        <is>
          <t>Festlaufzeit</t>
        </is>
      </c>
      <c r="C13" s="25" t="inlineStr">
        <is>
          <t>10 Jahre</t>
        </is>
      </c>
      <c r="D13" s="26" t="n"/>
      <c r="E13" s="26" t="n"/>
      <c r="F13" s="26" t="n"/>
      <c r="G13" s="54" t="inlineStr">
        <is>
          <t>5 Jahre</t>
        </is>
      </c>
      <c r="H13" s="26" t="n"/>
      <c r="I13" s="26" t="n"/>
      <c r="J13" s="26" t="n"/>
      <c r="L13" s="47" t="n"/>
    </row>
    <row r="14">
      <c r="B14" s="6" t="inlineStr">
        <is>
          <t>Mietbeginn</t>
        </is>
      </c>
      <c r="C14" s="74" t="n">
        <v>44301</v>
      </c>
      <c r="D14" s="72" t="n"/>
      <c r="E14" s="72" t="n"/>
      <c r="F14" s="72" t="n"/>
      <c r="G14" s="73" t="inlineStr">
        <is>
          <t>XXX – Monatserster nach Vollzug Kaufvertrag</t>
        </is>
      </c>
      <c r="H14" s="26" t="n"/>
      <c r="I14" s="26" t="n"/>
      <c r="J14" s="26" t="n"/>
      <c r="L14" s="47" t="n"/>
    </row>
    <row r="15">
      <c r="B15" s="6" t="inlineStr">
        <is>
          <t>Mietende Festlaufzeit</t>
        </is>
      </c>
      <c r="C15" s="74" t="n">
        <v>47968</v>
      </c>
      <c r="D15" s="72" t="n"/>
      <c r="E15" s="72" t="n"/>
      <c r="F15" s="72" t="n"/>
      <c r="G15" s="73" t="inlineStr">
        <is>
          <t>XXX – 5 Jahre ab Mietbeginn kündbar (unbefristet)</t>
        </is>
      </c>
      <c r="H15" s="26" t="n"/>
      <c r="I15" s="26" t="n"/>
      <c r="J15" s="26" t="n"/>
      <c r="L15" s="47" t="n"/>
    </row>
    <row r="16" ht="30" customHeight="1">
      <c r="B16" s="6" t="inlineStr">
        <is>
          <t>Verlängerungsoptionen</t>
        </is>
      </c>
      <c r="C16" s="25" t="inlineStr">
        <is>
          <t>2x 5 Jahre; 
automatische Verlängerung falls keine Kündigung 12 Monate vor Vertragsende erfolgt</t>
        </is>
      </c>
      <c r="D16" s="26" t="n"/>
      <c r="E16" s="26" t="n"/>
      <c r="F16" s="26" t="n"/>
      <c r="G16" s="71" t="inlineStr">
        <is>
          <t>2x 5 Jahre; 
nur auf aktive Ausübung</t>
        </is>
      </c>
      <c r="H16" s="26" t="n"/>
      <c r="I16" s="26" t="n"/>
      <c r="J16" s="26" t="n"/>
      <c r="L16" s="47" t="n"/>
    </row>
    <row r="17">
      <c r="B17" s="6" t="inlineStr">
        <is>
          <t>Mietbeginn</t>
        </is>
      </c>
      <c r="C17" s="25" t="inlineStr">
        <is>
          <t>bei Übergabe</t>
        </is>
      </c>
      <c r="D17" s="26" t="n"/>
      <c r="E17" s="26" t="n"/>
      <c r="F17" s="26" t="n"/>
      <c r="G17" s="54" t="inlineStr">
        <is>
          <t>Monatserster nach Vollzug des Kaufvertrags</t>
        </is>
      </c>
      <c r="H17" s="26" t="n"/>
      <c r="I17" s="26" t="n"/>
      <c r="J17" s="26" t="n"/>
      <c r="L17" s="47" t="n"/>
    </row>
    <row r="18">
      <c r="B18" s="6" t="inlineStr">
        <is>
          <t>Übergabezeitpunkt</t>
        </is>
      </c>
      <c r="C18" s="29" t="inlineStr">
        <is>
          <t>Schadensersatz bei zu später Übergabe (200 €/Tag, max. 3 Nettomonatsmieten).</t>
        </is>
      </c>
      <c r="D18" s="26" t="n"/>
      <c r="E18" s="26" t="n"/>
      <c r="F18" s="26" t="n"/>
      <c r="G18" s="54" t="inlineStr">
        <is>
          <t>Anspruch nach Sicherheitsleistung; keine Vertragsstrafe</t>
        </is>
      </c>
      <c r="H18" s="26" t="n"/>
      <c r="I18" s="26" t="n"/>
      <c r="J18" s="26" t="n"/>
      <c r="L18" s="47" t="n"/>
    </row>
    <row r="19" ht="30" customHeight="1">
      <c r="B19" s="6" t="inlineStr">
        <is>
          <t>Aufschiebende Bedingung / Rücktrittsrecht</t>
        </is>
      </c>
      <c r="C19" s="113" t="inlineStr">
        <is>
          <t>außerordentliche Kündigung bei &gt;3 Monate Verzug</t>
        </is>
      </c>
      <c r="D19" s="26" t="n"/>
      <c r="E19" s="26" t="n"/>
      <c r="F19" s="26" t="n"/>
      <c r="G19" s="54" t="inlineStr">
        <is>
          <t>kein Rücktrittsrecht</t>
        </is>
      </c>
      <c r="H19" s="26" t="n"/>
      <c r="I19" s="26" t="n"/>
      <c r="J19" s="26" t="n"/>
      <c r="L19" s="47" t="n"/>
    </row>
    <row r="20">
      <c r="B20" s="6" t="inlineStr">
        <is>
          <t>Mietfreie Zeit</t>
        </is>
      </c>
      <c r="C20" s="25" t="inlineStr">
        <is>
          <t>keine</t>
        </is>
      </c>
      <c r="D20" s="26" t="n"/>
      <c r="E20" s="26" t="n"/>
      <c r="F20" s="26" t="n"/>
      <c r="G20" s="54" t="inlineStr">
        <is>
          <t>keine</t>
        </is>
      </c>
      <c r="H20" s="26" t="n"/>
      <c r="I20" s="26" t="n"/>
      <c r="J20" s="26" t="n"/>
    </row>
    <row r="21">
      <c r="B21" s="6" t="inlineStr">
        <is>
          <t>Wertsicherung (VPI)</t>
        </is>
      </c>
      <c r="C21" s="25" t="inlineStr">
        <is>
          <t xml:space="preserve">Anpassung um 100% der Indexveränderung, wenn Indexveränderung &gt;5% </t>
        </is>
      </c>
      <c r="D21" s="26" t="n"/>
      <c r="E21" s="26" t="n"/>
      <c r="F21" s="26" t="n"/>
      <c r="G21" s="73" t="inlineStr">
        <is>
          <t>für die ersten 10 Mietjahre keine. Danach offen</t>
        </is>
      </c>
      <c r="H21" s="26" t="n"/>
      <c r="I21" s="26" t="n"/>
      <c r="J21" s="26" t="n"/>
      <c r="L21" s="47" t="n"/>
    </row>
    <row r="22">
      <c r="B22" s="6" t="inlineStr">
        <is>
          <t>Rückbauverpflichtung Mieter</t>
        </is>
      </c>
      <c r="C22" s="25" t="inlineStr">
        <is>
          <t>Ja</t>
        </is>
      </c>
      <c r="D22" s="26" t="n"/>
      <c r="E22" s="26" t="n"/>
      <c r="F22" s="26" t="n"/>
      <c r="G22" s="54" t="inlineStr">
        <is>
          <t>keine</t>
        </is>
      </c>
      <c r="H22" s="26" t="n"/>
      <c r="I22" s="26" t="n"/>
      <c r="J22" s="26" t="n"/>
      <c r="L22" s="47" t="n"/>
    </row>
    <row r="23">
      <c r="B23" s="6" t="inlineStr">
        <is>
          <t>Untervermietung</t>
        </is>
      </c>
      <c r="C23" s="25" t="inlineStr">
        <is>
          <t>Ja, an Patienten</t>
        </is>
      </c>
      <c r="D23" s="26" t="n"/>
      <c r="E23" s="26" t="n"/>
      <c r="F23" s="26" t="n"/>
      <c r="G23" s="54" t="inlineStr">
        <is>
          <t>Ja; zustimmungsfrei an Konzern und Bewohner</t>
        </is>
      </c>
      <c r="H23" s="26" t="n"/>
      <c r="I23" s="26" t="n"/>
      <c r="J23" s="26" t="n"/>
      <c r="L23" s="47" t="n"/>
    </row>
    <row r="24">
      <c r="B24" s="6" t="inlineStr">
        <is>
          <t>Mietsicherheit</t>
        </is>
      </c>
      <c r="C24" s="113" t="inlineStr">
        <is>
          <t>Bankbürgschaft: 3 Bruttomonatsmieten.</t>
        </is>
      </c>
      <c r="D24" s="114" t="n"/>
      <c r="E24" s="114" t="n"/>
      <c r="F24" s="114" t="n"/>
      <c r="G24" s="118" t="inlineStr">
        <is>
          <t>Patronatserklärung: 1 Jahreskaltmiete.</t>
        </is>
      </c>
      <c r="H24" s="114" t="n"/>
      <c r="I24" s="114" t="n"/>
      <c r="J24" s="114" t="n"/>
      <c r="L24" s="47" t="n"/>
    </row>
    <row r="25">
      <c r="B25" s="6" t="inlineStr">
        <is>
          <t>Konkurrenzschutz</t>
        </is>
      </c>
      <c r="C25" s="25" t="inlineStr">
        <is>
          <t>ja</t>
        </is>
      </c>
      <c r="D25" s="26" t="n"/>
      <c r="E25" s="26" t="n"/>
      <c r="F25" s="26" t="n"/>
      <c r="G25" s="54" t="inlineStr">
        <is>
          <t>nicht geregelt</t>
        </is>
      </c>
      <c r="H25" s="26" t="n"/>
      <c r="I25" s="26" t="n"/>
      <c r="J25" s="26" t="n"/>
    </row>
    <row r="26">
      <c r="B26" s="6" t="inlineStr">
        <is>
          <t>Sonderkündigungsrecht</t>
        </is>
      </c>
      <c r="C26" s="25" t="inlineStr">
        <is>
          <t>keines</t>
        </is>
      </c>
      <c r="D26" s="26" t="n"/>
      <c r="E26" s="26" t="n"/>
      <c r="F26" s="26" t="n"/>
      <c r="G26" s="54" t="inlineStr">
        <is>
          <t>Ja, bei Nutzungsuntersagung</t>
        </is>
      </c>
      <c r="H26" s="26" t="n"/>
      <c r="I26" s="26" t="n"/>
      <c r="J26" s="26" t="n"/>
      <c r="L26" s="47" t="n"/>
    </row>
    <row r="27">
      <c r="B27" s="6" t="inlineStr">
        <is>
          <t>Instandhaltung/Instandsetzung</t>
        </is>
      </c>
      <c r="C27" s="25" t="inlineStr">
        <is>
          <t>Dach und Fach beim Vermieter; Fläche beim Mieter</t>
        </is>
      </c>
      <c r="D27" s="26" t="n"/>
      <c r="E27" s="26" t="n"/>
      <c r="F27" s="26" t="n"/>
      <c r="G27" s="54" t="inlineStr">
        <is>
          <t>Dach und Fach beim Vermieter; Fläche beim Mieter</t>
        </is>
      </c>
      <c r="H27" s="26" t="n"/>
      <c r="I27" s="26" t="n"/>
      <c r="J27" s="26" t="n"/>
      <c r="L27" s="47" t="n"/>
    </row>
    <row r="28">
      <c r="B28" s="6" t="inlineStr">
        <is>
          <t>Besonderheiten / Sonstiges</t>
        </is>
      </c>
      <c r="C28" s="25" t="inlineStr">
        <is>
          <t>Nebenkosten zzgl. USt; Reinigung Treppenhaus/Aufzug 2x wöchentlich durch Mieter</t>
        </is>
      </c>
      <c r="D28" s="26" t="n"/>
      <c r="E28" s="26" t="n"/>
      <c r="F28" s="26" t="n"/>
      <c r="G28" s="54" t="inlineStr">
        <is>
          <t>Inventar vermieterseitig gestellt; Umstellung auf gewerbliche Wärmelieferung möglich</t>
        </is>
      </c>
      <c r="H28" s="26" t="n"/>
      <c r="I28" s="26" t="n"/>
      <c r="J28" s="26" t="n"/>
      <c r="L28" s="47" t="n"/>
    </row>
    <row r="29" ht="6.75" customHeight="1" thickBot="1">
      <c r="B29" s="7" t="n"/>
      <c r="C29" s="8" t="n"/>
      <c r="D29" s="7" t="n"/>
      <c r="E29" s="7" t="n"/>
      <c r="F29" s="7" t="n"/>
      <c r="G29" s="55" t="n"/>
      <c r="H29" s="7" t="n"/>
      <c r="I29" s="7" t="n"/>
      <c r="J29" s="7" t="n"/>
    </row>
    <row r="30">
      <c r="G30" s="52" t="n"/>
    </row>
    <row r="31" hidden="1" outlineLevel="1">
      <c r="B31" s="9" t="inlineStr">
        <is>
          <t>Benchmarks (Neubau)</t>
        </is>
      </c>
      <c r="C31" s="9" t="n"/>
      <c r="D31" s="9" t="n"/>
      <c r="E31" s="9" t="n"/>
      <c r="F31" s="9" t="n"/>
      <c r="G31" s="56" t="n"/>
      <c r="H31" s="9" t="n"/>
      <c r="I31" s="9" t="n"/>
      <c r="J31" s="9" t="n"/>
    </row>
    <row r="32" hidden="1" outlineLevel="1">
      <c r="B32" s="6" t="inlineStr">
        <is>
          <t>Miete/m² (Neubau) - kein BKZ</t>
        </is>
      </c>
      <c r="C32" s="120" t="n">
        <v>20</v>
      </c>
      <c r="D32" s="26" t="n"/>
      <c r="E32" s="26" t="n"/>
      <c r="F32" s="26" t="n"/>
      <c r="G32" s="121" t="n">
        <v>20</v>
      </c>
      <c r="H32" s="26" t="n"/>
      <c r="I32" s="26" t="n"/>
      <c r="J32" s="26" t="n"/>
    </row>
    <row r="33" hidden="1" outlineLevel="1">
      <c r="B33" s="6" t="inlineStr">
        <is>
          <t>Miete/m² inkl. BKZ</t>
        </is>
      </c>
      <c r="C33" s="120" t="n">
        <v>20</v>
      </c>
      <c r="D33" s="26" t="n"/>
      <c r="E33" s="26" t="n"/>
      <c r="F33" s="26" t="n"/>
      <c r="G33" s="121" t="n">
        <v>20</v>
      </c>
      <c r="H33" s="26" t="n"/>
      <c r="I33" s="26" t="n"/>
      <c r="J33" s="26" t="n"/>
    </row>
    <row r="34" hidden="1" outlineLevel="1">
      <c r="B34" s="6" t="inlineStr">
        <is>
          <t>Nebenkosten/m²</t>
        </is>
      </c>
      <c r="C34" s="120" t="n">
        <v>3</v>
      </c>
      <c r="D34" s="26" t="n"/>
      <c r="E34" s="26" t="n"/>
      <c r="F34" s="26" t="n"/>
      <c r="G34" s="121" t="n">
        <v>3</v>
      </c>
      <c r="H34" s="26" t="n"/>
      <c r="I34" s="26" t="n"/>
      <c r="J34" s="26" t="n"/>
    </row>
    <row r="35" hidden="1" outlineLevel="1">
      <c r="B35" s="6" t="inlineStr">
        <is>
          <t>Fläche pro Bett</t>
        </is>
      </c>
      <c r="C35" s="122" t="inlineStr">
        <is>
          <t>50m²</t>
        </is>
      </c>
      <c r="D35" s="123" t="inlineStr">
        <is>
          <t xml:space="preserve"> (d.h. 6er WG: 300m²; 12er WG: 600m²)</t>
        </is>
      </c>
      <c r="E35" s="26" t="n"/>
      <c r="F35" s="26" t="n"/>
      <c r="G35" s="124" t="inlineStr">
        <is>
          <t>50m²</t>
        </is>
      </c>
      <c r="H35" s="123" t="inlineStr">
        <is>
          <t xml:space="preserve"> (d.h. 6er WG: 300m²; 12er WG: 600m²)</t>
        </is>
      </c>
      <c r="I35" s="26" t="n"/>
      <c r="J35" s="26" t="n"/>
    </row>
    <row r="36" hidden="1" outlineLevel="1">
      <c r="B36" s="6" t="inlineStr">
        <is>
          <t>Miete pro Bett pro Monat (exkl. Baukostenzuschuss)</t>
        </is>
      </c>
      <c r="C36" s="122" t="n">
        <v>1000</v>
      </c>
      <c r="D36" s="26" t="n"/>
      <c r="E36" s="26" t="n"/>
      <c r="F36" s="26" t="n"/>
      <c r="G36" s="124" t="n">
        <v>1000</v>
      </c>
      <c r="H36" s="26" t="n"/>
      <c r="I36" s="26" t="n"/>
      <c r="J36" s="26" t="n"/>
    </row>
    <row r="37" hidden="1" outlineLevel="1">
      <c r="B37" s="6" t="inlineStr">
        <is>
          <t>Miete pro Bett pro Monat (inkl. BKZ über 10 Jahre)</t>
        </is>
      </c>
      <c r="C37" s="122">
        <f>+C36</f>
        <v/>
      </c>
      <c r="D37" s="26" t="n"/>
      <c r="E37" s="26" t="n"/>
      <c r="F37" s="26" t="n"/>
      <c r="G37" s="124">
        <f>+G36</f>
        <v/>
      </c>
      <c r="H37" s="26" t="n"/>
      <c r="I37" s="26" t="n"/>
      <c r="J37" s="26" t="n"/>
    </row>
    <row r="38" hidden="1" outlineLevel="1">
      <c r="B38" s="6" t="inlineStr">
        <is>
          <t>Baukostenzuschuss pro Bett</t>
        </is>
      </c>
      <c r="C38" s="122" t="n">
        <v>0</v>
      </c>
      <c r="D38" s="123" t="n"/>
      <c r="E38" s="26" t="n"/>
      <c r="F38" s="26" t="n"/>
      <c r="G38" s="124" t="n">
        <v>0</v>
      </c>
      <c r="H38" s="123" t="n"/>
      <c r="I38" s="26" t="n"/>
      <c r="J38" s="26" t="n"/>
    </row>
    <row r="39" hidden="1" outlineLevel="1">
      <c r="B39" s="6" t="inlineStr">
        <is>
          <t>Capex pro Bett (Möbel, Ausstattung, etc.)</t>
        </is>
      </c>
      <c r="C39" s="122" t="n">
        <v>30000</v>
      </c>
      <c r="D39" s="26" t="n"/>
      <c r="E39" s="26" t="n"/>
      <c r="F39" s="26" t="n"/>
      <c r="G39" s="124" t="n">
        <v>30000</v>
      </c>
      <c r="H39" s="26" t="n"/>
      <c r="I39" s="26" t="n"/>
      <c r="J39" s="26" t="n"/>
    </row>
    <row r="40" hidden="1" outlineLevel="1">
      <c r="B40" s="6" t="inlineStr">
        <is>
          <t>Baukosten pro qm (Neubau)</t>
        </is>
      </c>
      <c r="C40" s="25" t="inlineStr">
        <is>
          <t>TBD</t>
        </is>
      </c>
      <c r="D40" s="26" t="n"/>
      <c r="E40" s="26" t="n"/>
      <c r="F40" s="26" t="n"/>
      <c r="G40" s="54" t="inlineStr">
        <is>
          <t>TBD</t>
        </is>
      </c>
      <c r="H40" s="26" t="n"/>
      <c r="I40" s="26" t="n"/>
      <c r="J40" s="26" t="n"/>
    </row>
    <row r="41" hidden="1" outlineLevel="1">
      <c r="G41" s="52" t="n"/>
    </row>
    <row r="42" hidden="1" outlineLevel="1">
      <c r="B42" s="9" t="inlineStr">
        <is>
          <t>Benchmarks (Bestand)</t>
        </is>
      </c>
      <c r="C42" s="9" t="n"/>
      <c r="D42" s="9" t="n"/>
      <c r="E42" s="9" t="n"/>
      <c r="F42" s="9" t="n"/>
      <c r="G42" s="56" t="n"/>
      <c r="H42" s="9" t="n"/>
      <c r="I42" s="9" t="n"/>
      <c r="J42" s="9" t="n"/>
    </row>
    <row r="43" hidden="1" outlineLevel="1">
      <c r="B43" s="6" t="inlineStr">
        <is>
          <t>Miete/m² (Bestand) - kein BKZ</t>
        </is>
      </c>
      <c r="C43" s="120" t="n">
        <v>20</v>
      </c>
      <c r="D43" s="26" t="n"/>
      <c r="E43" s="26" t="n"/>
      <c r="F43" s="26" t="n"/>
      <c r="G43" s="121" t="n">
        <v>20</v>
      </c>
      <c r="H43" s="26" t="n"/>
      <c r="I43" s="26" t="n"/>
      <c r="J43" s="26" t="n"/>
    </row>
    <row r="44" hidden="1" outlineLevel="1">
      <c r="B44" s="6" t="inlineStr">
        <is>
          <t>Miete/m² (Bestand) inkl. BKZ</t>
        </is>
      </c>
      <c r="C44" s="120" t="n">
        <v>25</v>
      </c>
      <c r="D44" s="26" t="n"/>
      <c r="E44" s="26" t="n"/>
      <c r="F44" s="26" t="n"/>
      <c r="G44" s="121" t="n">
        <v>25</v>
      </c>
      <c r="H44" s="26" t="n"/>
      <c r="I44" s="26" t="n"/>
      <c r="J44" s="26" t="n"/>
    </row>
    <row r="45" hidden="1" outlineLevel="1">
      <c r="B45" s="6" t="inlineStr">
        <is>
          <t>Nebenkosten/m²</t>
        </is>
      </c>
      <c r="C45" s="120" t="n">
        <v>3</v>
      </c>
      <c r="D45" s="26" t="n"/>
      <c r="E45" s="26" t="n"/>
      <c r="F45" s="26" t="n"/>
      <c r="G45" s="121" t="n">
        <v>3</v>
      </c>
      <c r="H45" s="26" t="n"/>
      <c r="I45" s="26" t="n"/>
      <c r="J45" s="26" t="n"/>
    </row>
    <row r="46" hidden="1" outlineLevel="1">
      <c r="B46" s="6" t="inlineStr">
        <is>
          <t>Fläche pro Bett</t>
        </is>
      </c>
      <c r="C46" s="122" t="inlineStr">
        <is>
          <t>50m²</t>
        </is>
      </c>
      <c r="D46" s="123" t="inlineStr">
        <is>
          <t xml:space="preserve"> (d.h. 6er WG: 300m²; 12er WG: 600m²)</t>
        </is>
      </c>
      <c r="E46" s="26" t="n"/>
      <c r="F46" s="26" t="n"/>
      <c r="G46" s="124" t="inlineStr">
        <is>
          <t>50m²</t>
        </is>
      </c>
      <c r="H46" s="123" t="inlineStr">
        <is>
          <t xml:space="preserve"> (d.h. 6er WG: 300m²; 12er WG: 600m²)</t>
        </is>
      </c>
      <c r="I46" s="26" t="n"/>
      <c r="J46" s="26" t="n"/>
    </row>
    <row r="47" hidden="1" outlineLevel="1">
      <c r="B47" s="6" t="inlineStr">
        <is>
          <t>Miete pro Bett pro Monat (exkl. Baukostenzuschuss)</t>
        </is>
      </c>
      <c r="C47" s="122" t="n">
        <v>1000</v>
      </c>
      <c r="D47" s="26" t="n"/>
      <c r="E47" s="26" t="n"/>
      <c r="F47" s="26" t="n"/>
      <c r="G47" s="124" t="n">
        <v>1000</v>
      </c>
      <c r="H47" s="26" t="n"/>
      <c r="I47" s="26" t="n"/>
      <c r="J47" s="26" t="n"/>
    </row>
    <row r="48" hidden="1" outlineLevel="1">
      <c r="B48" s="6" t="inlineStr">
        <is>
          <t>Miete pro Bett pro Monat (inkl. BKZ über 10 Jahre)</t>
        </is>
      </c>
      <c r="C48" s="122" t="n">
        <v>1250</v>
      </c>
      <c r="D48" s="26" t="n"/>
      <c r="E48" s="26" t="n"/>
      <c r="F48" s="26" t="n"/>
      <c r="G48" s="124" t="n">
        <v>1250</v>
      </c>
      <c r="H48" s="26" t="n"/>
      <c r="I48" s="26" t="n"/>
      <c r="J48" s="26" t="n"/>
    </row>
    <row r="49" hidden="1" outlineLevel="1">
      <c r="B49" s="6" t="inlineStr">
        <is>
          <t>Baukostenzuschuss pro Bett</t>
        </is>
      </c>
      <c r="C49" s="122" t="n">
        <v>40000</v>
      </c>
      <c r="D49" s="123" t="inlineStr">
        <is>
          <t>(d.h. 6er WG: 180.000 €, 12er WG: 360.000 €)</t>
        </is>
      </c>
      <c r="E49" s="26" t="n"/>
      <c r="F49" s="26" t="n"/>
      <c r="G49" s="124" t="n">
        <v>40000</v>
      </c>
      <c r="H49" s="123" t="inlineStr">
        <is>
          <t>(d.h. 6er WG: 180.000 €, 12er WG: 360.000 €)</t>
        </is>
      </c>
      <c r="I49" s="26" t="n"/>
      <c r="J49" s="26" t="n"/>
    </row>
    <row r="50" hidden="1" outlineLevel="1">
      <c r="B50" s="6" t="inlineStr">
        <is>
          <t>Capex pro Bett (Möbel, Ausstattung, etc.)</t>
        </is>
      </c>
      <c r="C50" s="122" t="n">
        <v>30000</v>
      </c>
      <c r="D50" s="26" t="n"/>
      <c r="E50" s="26" t="n"/>
      <c r="F50" s="26" t="n"/>
      <c r="G50" s="124" t="n">
        <v>30000</v>
      </c>
      <c r="H50" s="26" t="n"/>
      <c r="I50" s="26" t="n"/>
      <c r="J50" s="26" t="n"/>
    </row>
    <row r="51" hidden="1" outlineLevel="1">
      <c r="B51" s="6" t="inlineStr">
        <is>
          <t>Baukosten pro qm (Neubau)</t>
        </is>
      </c>
      <c r="C51" s="27" t="n">
        <v>0</v>
      </c>
      <c r="D51" s="26" t="n"/>
      <c r="E51" s="26" t="n"/>
      <c r="F51" s="26" t="n"/>
      <c r="G51" s="59" t="n">
        <v>0</v>
      </c>
      <c r="H51" s="26" t="n"/>
      <c r="I51" s="26" t="n"/>
      <c r="J51" s="26" t="n"/>
    </row>
    <row r="52" hidden="1" outlineLevel="1">
      <c r="G52" s="52" t="n"/>
    </row>
    <row r="53" collapsed="1">
      <c r="B53" s="9" t="inlineStr">
        <is>
          <t>Mietkosten</t>
        </is>
      </c>
      <c r="C53" s="9" t="n"/>
      <c r="D53" s="9" t="n"/>
      <c r="E53" s="9" t="n"/>
      <c r="F53" s="9" t="n"/>
      <c r="G53" s="56" t="n"/>
      <c r="H53" s="9" t="n"/>
      <c r="I53" s="9" t="n"/>
      <c r="J53" s="9" t="n"/>
    </row>
    <row r="54">
      <c r="B54" s="10" t="inlineStr">
        <is>
          <t>Einheit 1</t>
        </is>
      </c>
      <c r="C54" s="10" t="n"/>
      <c r="D54" s="10" t="n"/>
      <c r="E54" s="10" t="n"/>
      <c r="F54" s="10" t="n"/>
      <c r="G54" s="60" t="n"/>
      <c r="H54" s="10" t="n"/>
      <c r="I54" s="10" t="n"/>
      <c r="J54" s="10" t="n"/>
    </row>
    <row r="55">
      <c r="B55" s="6" t="inlineStr">
        <is>
          <t>Art (z.B. WG, Büro, etc.)</t>
        </is>
      </c>
      <c r="C55" s="27" t="inlineStr">
        <is>
          <t>WG</t>
        </is>
      </c>
      <c r="D55" s="26" t="n"/>
      <c r="E55" s="26" t="n"/>
      <c r="F55" s="26" t="n"/>
      <c r="G55" s="59" t="inlineStr">
        <is>
          <t>WG (Intensivpflege-Wohngemeinschaft)</t>
        </is>
      </c>
      <c r="H55" s="26" t="n"/>
      <c r="I55" s="26" t="n"/>
      <c r="J55" s="26" t="n"/>
    </row>
    <row r="56">
      <c r="B56" s="6" t="inlineStr">
        <is>
          <t>Lage der Mietfläche (z.B. EG, 1. OG)</t>
        </is>
      </c>
      <c r="C56" s="27" t="inlineStr">
        <is>
          <t>2. und 3. OG</t>
        </is>
      </c>
      <c r="D56" s="26" t="n"/>
      <c r="E56" s="26" t="n"/>
      <c r="F56" s="26" t="n"/>
      <c r="G56" s="59" t="inlineStr">
        <is>
          <t>XXX</t>
        </is>
      </c>
      <c r="H56" s="26" t="n"/>
      <c r="I56" s="26" t="n"/>
      <c r="J56" s="26" t="n"/>
      <c r="L56" s="47" t="n"/>
    </row>
    <row r="57">
      <c r="B57" s="6" t="inlineStr">
        <is>
          <t>Kapazität (Anzahl Betten)</t>
        </is>
      </c>
      <c r="C57" s="27" t="inlineStr">
        <is>
          <t>12 Betten (6 Betten im 2. OG, 6 Betten im 3. OG)</t>
        </is>
      </c>
      <c r="D57" s="26" t="n"/>
      <c r="E57" s="26" t="n"/>
      <c r="F57" s="26" t="n"/>
      <c r="G57" s="59" t="inlineStr">
        <is>
          <t>18 Patientenzimmer</t>
        </is>
      </c>
      <c r="H57" s="26" t="n"/>
      <c r="I57" s="26" t="n"/>
      <c r="J57" s="26" t="n"/>
      <c r="L57" s="47" t="n"/>
    </row>
    <row r="58">
      <c r="B58" s="6" t="inlineStr">
        <is>
          <t>Größe der Fläche (in qm)</t>
        </is>
      </c>
      <c r="C58" s="28" t="n">
        <v>695.28</v>
      </c>
      <c r="D58" s="26" t="n"/>
      <c r="E58" s="26" t="n"/>
      <c r="F58" s="26" t="n"/>
      <c r="G58" s="61" t="n">
        <v>1082</v>
      </c>
      <c r="H58" s="26" t="n"/>
      <c r="I58" s="26" t="n"/>
      <c r="J58" s="26" t="n"/>
    </row>
    <row r="59">
      <c r="B59" s="6" t="inlineStr">
        <is>
          <t>Mietbeginn (falls abweichned)</t>
        </is>
      </c>
      <c r="C59" s="29" t="n">
        <v>44301</v>
      </c>
      <c r="D59" s="26" t="n"/>
      <c r="E59" s="26" t="n"/>
      <c r="F59" s="26" t="n"/>
      <c r="G59" s="62" t="inlineStr">
        <is>
          <t>XXX</t>
        </is>
      </c>
      <c r="H59" s="26" t="n"/>
      <c r="I59" s="26" t="n"/>
      <c r="J59" s="26" t="n"/>
    </row>
    <row r="60">
      <c r="G60" s="52" t="n"/>
    </row>
    <row r="61">
      <c r="B61" s="11" t="inlineStr">
        <is>
          <t>Kosten Einheit 1</t>
        </is>
      </c>
      <c r="C61" s="12" t="inlineStr">
        <is>
          <t>Anzahl</t>
        </is>
      </c>
      <c r="D61" s="12" t="inlineStr">
        <is>
          <t>€ pro Einheit</t>
        </is>
      </c>
      <c r="E61" s="12" t="inlineStr">
        <is>
          <t>€ pro Monat</t>
        </is>
      </c>
      <c r="F61" s="12" t="inlineStr">
        <is>
          <t>€ pro Jahr</t>
        </is>
      </c>
      <c r="G61" s="63" t="inlineStr">
        <is>
          <t>Anzahl</t>
        </is>
      </c>
      <c r="H61" s="12" t="inlineStr">
        <is>
          <t>€ pro Einheit</t>
        </is>
      </c>
      <c r="I61" s="12" t="inlineStr">
        <is>
          <t>€ pro Monat</t>
        </is>
      </c>
      <c r="J61" s="12" t="inlineStr">
        <is>
          <t>€ pro Jahr</t>
        </is>
      </c>
    </row>
    <row r="62">
      <c r="B62" s="2" t="inlineStr">
        <is>
          <t>Nettokaltmiete</t>
        </is>
      </c>
      <c r="C62" s="30" t="n">
        <v>695.28</v>
      </c>
      <c r="D62" s="31" t="n">
        <v>14.95</v>
      </c>
      <c r="E62" s="13">
        <f>+C62*D62</f>
        <v/>
      </c>
      <c r="F62" s="13">
        <f>+E62*12</f>
        <v/>
      </c>
      <c r="G62" s="64" t="n">
        <v>1082</v>
      </c>
      <c r="H62" s="31" t="n">
        <v>7.855822550831793</v>
      </c>
      <c r="I62" s="13">
        <f>+G62*H62</f>
        <v/>
      </c>
      <c r="J62" s="13">
        <f>+I62*12</f>
        <v/>
      </c>
      <c r="L62" s="47" t="n"/>
    </row>
    <row r="63">
      <c r="B63" s="6" t="inlineStr">
        <is>
          <t>Nebenkostenpauschale</t>
        </is>
      </c>
      <c r="C63" s="32">
        <f>+C62</f>
        <v/>
      </c>
      <c r="D63" s="33" t="n">
        <v>3.5</v>
      </c>
      <c r="E63" s="13">
        <f>+C63*D63</f>
        <v/>
      </c>
      <c r="F63" s="13">
        <f>+E63*12</f>
        <v/>
      </c>
      <c r="G63" s="65">
        <f>+G62</f>
        <v/>
      </c>
      <c r="H63" s="33" t="n">
        <v>4.343807763401109</v>
      </c>
      <c r="I63" s="13">
        <f>+G63*H63</f>
        <v/>
      </c>
      <c r="J63" s="13">
        <f>+I63*12</f>
        <v/>
      </c>
    </row>
    <row r="64">
      <c r="B64" s="6" t="inlineStr">
        <is>
          <t>Stellplätze</t>
        </is>
      </c>
      <c r="C64" s="34" t="n">
        <v>11</v>
      </c>
      <c r="D64" s="33" t="n">
        <v>43.63636363636363</v>
      </c>
      <c r="E64" s="13">
        <f>+C64*D64</f>
        <v/>
      </c>
      <c r="F64" s="13">
        <f>+E64*12</f>
        <v/>
      </c>
      <c r="G64" s="66" t="n">
        <v>0</v>
      </c>
      <c r="H64" s="33" t="n">
        <v>0</v>
      </c>
      <c r="I64" s="13">
        <f>+G64*H64</f>
        <v/>
      </c>
      <c r="J64" s="13">
        <f>+I64*12</f>
        <v/>
      </c>
    </row>
    <row r="65">
      <c r="B65" s="6" t="inlineStr">
        <is>
          <t>Terasse</t>
        </is>
      </c>
      <c r="C65" s="32" t="n">
        <v>0</v>
      </c>
      <c r="D65" s="33" t="n">
        <v>0</v>
      </c>
      <c r="E65" s="13">
        <f>+C65*D65</f>
        <v/>
      </c>
      <c r="F65" s="13">
        <f>+E65*12</f>
        <v/>
      </c>
      <c r="G65" s="65" t="n">
        <v>0</v>
      </c>
      <c r="H65" s="33" t="n">
        <v>0</v>
      </c>
      <c r="I65" s="13">
        <f>+G65*H65</f>
        <v/>
      </c>
      <c r="J65" s="13">
        <f>+I65*12</f>
        <v/>
      </c>
    </row>
    <row r="66">
      <c r="B66" s="6" t="inlineStr">
        <is>
          <t>Keller</t>
        </is>
      </c>
      <c r="C66" s="125" t="n">
        <v>18.65</v>
      </c>
      <c r="D66" s="33" t="n">
        <v>5</v>
      </c>
      <c r="E66" s="13">
        <f>+C66*D66</f>
        <v/>
      </c>
      <c r="F66" s="13">
        <f>+E66*12</f>
        <v/>
      </c>
      <c r="G66" s="65" t="n">
        <v>0</v>
      </c>
      <c r="H66" s="33" t="n">
        <v>0</v>
      </c>
      <c r="I66" s="13">
        <f>+G66*H66</f>
        <v/>
      </c>
      <c r="J66" s="13">
        <f>+I66*12</f>
        <v/>
      </c>
    </row>
    <row r="67">
      <c r="B67" s="6" t="inlineStr">
        <is>
          <t>Sonstiges</t>
        </is>
      </c>
      <c r="C67" s="34" t="n">
        <v>0</v>
      </c>
      <c r="D67" s="33" t="n">
        <v>0</v>
      </c>
      <c r="E67" s="13">
        <f>+C67*D67</f>
        <v/>
      </c>
      <c r="F67" s="13">
        <f>+E67*12</f>
        <v/>
      </c>
      <c r="G67" s="66" t="n">
        <v>0</v>
      </c>
      <c r="H67" s="33" t="n">
        <v>0</v>
      </c>
      <c r="I67" s="13">
        <f>+G67*H67</f>
        <v/>
      </c>
      <c r="J67" s="13">
        <f>+I67*12</f>
        <v/>
      </c>
    </row>
    <row r="68" ht="8.25" customHeight="1">
      <c r="B68" s="14" t="n"/>
      <c r="C68" s="15" t="n"/>
      <c r="D68" s="16" t="n"/>
      <c r="E68" s="17" t="n"/>
      <c r="F68" s="17" t="n"/>
      <c r="G68" s="67" t="n"/>
      <c r="H68" s="16" t="n"/>
      <c r="I68" s="17" t="n"/>
      <c r="J68" s="17" t="n"/>
    </row>
    <row r="69" customFormat="1" s="1">
      <c r="B69" s="1" t="inlineStr">
        <is>
          <t>Summe</t>
        </is>
      </c>
      <c r="C69" s="18" t="n"/>
      <c r="D69" s="19" t="n"/>
      <c r="E69" s="20">
        <f>+SUM(E62:E68)</f>
        <v/>
      </c>
      <c r="F69" s="20">
        <f>+SUM(F62:F68)</f>
        <v/>
      </c>
      <c r="G69" s="68" t="n"/>
      <c r="H69" s="19" t="n"/>
      <c r="I69" s="20">
        <f>+SUM(I62:I68)</f>
        <v/>
      </c>
      <c r="J69" s="20">
        <f>+SUM(J62:J68)</f>
        <v/>
      </c>
    </row>
    <row r="70" ht="6.75" customHeight="1" thickBot="1">
      <c r="B70" s="7" t="n"/>
      <c r="C70" s="8" t="n"/>
      <c r="D70" s="7" t="n"/>
      <c r="E70" s="7" t="n"/>
      <c r="F70" s="7" t="n"/>
      <c r="G70" s="55" t="n"/>
      <c r="H70" s="7" t="n"/>
      <c r="I70" s="7" t="n"/>
      <c r="J70" s="7" t="n"/>
    </row>
    <row r="71">
      <c r="G71" s="52" t="n"/>
    </row>
    <row r="72">
      <c r="B72" s="10" t="inlineStr">
        <is>
          <t>Einheit 2</t>
        </is>
      </c>
      <c r="C72" s="10" t="n"/>
      <c r="D72" s="10" t="n"/>
      <c r="E72" s="10" t="n"/>
      <c r="F72" s="10" t="n"/>
      <c r="G72" s="80" t="n"/>
      <c r="H72" s="81" t="n"/>
      <c r="I72" s="81" t="n"/>
      <c r="J72" s="81" t="n"/>
    </row>
    <row r="73">
      <c r="B73" s="6" t="inlineStr">
        <is>
          <t>Art (z.B. WG, Büro, etc.)</t>
        </is>
      </c>
      <c r="C73" s="27" t="inlineStr">
        <is>
          <t>WG</t>
        </is>
      </c>
      <c r="D73" s="26" t="n"/>
      <c r="E73" s="26" t="n"/>
      <c r="F73" s="26" t="n"/>
      <c r="G73" s="82" t="n"/>
      <c r="H73" s="83" t="n"/>
      <c r="I73" s="83" t="n"/>
      <c r="J73" s="83" t="n"/>
    </row>
    <row r="74">
      <c r="B74" s="6" t="inlineStr">
        <is>
          <t>Lage der Mietfläche (z.B. EG, 1. OG)</t>
        </is>
      </c>
      <c r="C74" s="27" t="inlineStr">
        <is>
          <t>1. OG (komplett)</t>
        </is>
      </c>
      <c r="D74" s="26" t="n"/>
      <c r="E74" s="26" t="n"/>
      <c r="F74" s="26" t="n"/>
      <c r="G74" s="82" t="n"/>
      <c r="H74" s="83" t="n"/>
      <c r="I74" s="83" t="n"/>
      <c r="J74" s="83" t="n"/>
    </row>
    <row r="75">
      <c r="B75" s="6" t="inlineStr">
        <is>
          <t>Kapazität (Anzahl Betten)</t>
        </is>
      </c>
      <c r="C75" s="27" t="inlineStr">
        <is>
          <t>5 Betten</t>
        </is>
      </c>
      <c r="D75" s="26" t="n"/>
      <c r="E75" s="26" t="n"/>
      <c r="F75" s="26" t="n"/>
      <c r="G75" s="82" t="n"/>
      <c r="H75" s="83" t="n"/>
      <c r="I75" s="83" t="n"/>
      <c r="J75" s="83" t="n"/>
      <c r="L75" s="47" t="n"/>
    </row>
    <row r="76">
      <c r="B76" s="6" t="inlineStr">
        <is>
          <t>Größe der Fläche (in qm)</t>
        </is>
      </c>
      <c r="C76" s="28" t="n">
        <v>350.32</v>
      </c>
      <c r="D76" s="26" t="n"/>
      <c r="E76" s="26" t="n"/>
      <c r="F76" s="26" t="n"/>
      <c r="G76" s="84" t="n"/>
      <c r="H76" s="83" t="n"/>
      <c r="I76" s="83" t="n"/>
      <c r="J76" s="83" t="n"/>
    </row>
    <row r="77">
      <c r="B77" s="6" t="inlineStr">
        <is>
          <t>Mietbeginn (falls abweichned)</t>
        </is>
      </c>
      <c r="C77" s="29" t="inlineStr">
        <is>
          <t>15.10.2023 (1. OG); Keller 70 qm ab 15.04.2023</t>
        </is>
      </c>
      <c r="D77" s="26" t="n"/>
      <c r="E77" s="26" t="n"/>
      <c r="F77" s="26" t="n"/>
      <c r="G77" s="85" t="n"/>
      <c r="H77" s="83" t="n"/>
      <c r="I77" s="83" t="n"/>
      <c r="J77" s="83" t="n"/>
    </row>
    <row r="78">
      <c r="G78" s="86" t="n"/>
      <c r="H78" s="87" t="n"/>
      <c r="I78" s="87" t="n"/>
      <c r="J78" s="87" t="n"/>
    </row>
    <row r="79">
      <c r="B79" s="11" t="inlineStr">
        <is>
          <t>Kosten Einheit 2</t>
        </is>
      </c>
      <c r="C79" s="12" t="inlineStr">
        <is>
          <t>Anzahl</t>
        </is>
      </c>
      <c r="D79" s="12" t="inlineStr">
        <is>
          <t>€ pro Einheit</t>
        </is>
      </c>
      <c r="E79" s="12" t="inlineStr">
        <is>
          <t>€ pro Monat</t>
        </is>
      </c>
      <c r="F79" s="12" t="inlineStr">
        <is>
          <t>€ pro Jahr</t>
        </is>
      </c>
      <c r="G79" s="88" t="n"/>
      <c r="H79" s="89" t="n"/>
      <c r="I79" s="89" t="n"/>
      <c r="J79" s="89" t="n"/>
    </row>
    <row r="80">
      <c r="B80" s="2" t="inlineStr">
        <is>
          <t>Nettokaltmiete</t>
        </is>
      </c>
      <c r="C80" s="30" t="n">
        <v>350.32</v>
      </c>
      <c r="D80" s="31" t="n">
        <v>14.95</v>
      </c>
      <c r="E80" s="13">
        <f>+C80*D80</f>
        <v/>
      </c>
      <c r="F80" s="13">
        <f>+E80*12</f>
        <v/>
      </c>
      <c r="G80" s="90" t="n"/>
      <c r="H80" s="91" t="n"/>
      <c r="I80" s="92" t="n"/>
      <c r="J80" s="92" t="n"/>
    </row>
    <row r="81">
      <c r="B81" s="6" t="inlineStr">
        <is>
          <t>Nebenkostenpauschale</t>
        </is>
      </c>
      <c r="C81" s="32">
        <f>+C80</f>
        <v/>
      </c>
      <c r="D81" s="33" t="n">
        <v>3.5</v>
      </c>
      <c r="E81" s="13">
        <f>+C81*D81</f>
        <v/>
      </c>
      <c r="F81" s="13">
        <f>+E81*12</f>
        <v/>
      </c>
      <c r="G81" s="93" t="n"/>
      <c r="H81" s="94" t="n"/>
      <c r="I81" s="92" t="n"/>
      <c r="J81" s="92" t="n"/>
    </row>
    <row r="82">
      <c r="B82" s="6" t="inlineStr">
        <is>
          <t>Stellplätze</t>
        </is>
      </c>
      <c r="C82" s="34" t="n">
        <v>3</v>
      </c>
      <c r="D82" s="33" t="n">
        <v>60</v>
      </c>
      <c r="E82" s="13">
        <f>+C82*D82</f>
        <v/>
      </c>
      <c r="F82" s="13">
        <f>+E82*12</f>
        <v/>
      </c>
      <c r="G82" s="95" t="n"/>
      <c r="H82" s="94" t="n"/>
      <c r="I82" s="92" t="n"/>
      <c r="J82" s="92" t="n"/>
    </row>
    <row r="83">
      <c r="B83" s="6" t="inlineStr">
        <is>
          <t>Terasse</t>
        </is>
      </c>
      <c r="C83" s="32" t="n">
        <v>0</v>
      </c>
      <c r="D83" s="33" t="n">
        <v>0</v>
      </c>
      <c r="E83" s="13">
        <f>+C83*D83</f>
        <v/>
      </c>
      <c r="F83" s="13">
        <f>+E83*12</f>
        <v/>
      </c>
      <c r="G83" s="93" t="n"/>
      <c r="H83" s="94" t="n"/>
      <c r="I83" s="92" t="n"/>
      <c r="J83" s="92" t="n"/>
    </row>
    <row r="84">
      <c r="B84" s="6" t="inlineStr">
        <is>
          <t>Keller</t>
        </is>
      </c>
      <c r="C84" s="32" t="n">
        <v>70</v>
      </c>
      <c r="D84" s="33" t="n">
        <v>5</v>
      </c>
      <c r="E84" s="13">
        <f>+C84*D84</f>
        <v/>
      </c>
      <c r="F84" s="13">
        <f>+E84*12</f>
        <v/>
      </c>
      <c r="G84" s="93" t="n"/>
      <c r="H84" s="94" t="n"/>
      <c r="I84" s="92" t="n"/>
      <c r="J84" s="92" t="n"/>
    </row>
    <row r="85">
      <c r="B85" s="72" t="inlineStr">
        <is>
          <t>Statische Mehraufwendungen</t>
        </is>
      </c>
      <c r="C85" s="75" t="n">
        <v>1</v>
      </c>
      <c r="D85" s="76" t="n">
        <v>600</v>
      </c>
      <c r="E85" s="13">
        <f>+C85*D85</f>
        <v/>
      </c>
      <c r="F85" s="13">
        <f>+E85*12</f>
        <v/>
      </c>
      <c r="G85" s="95" t="n"/>
      <c r="H85" s="94" t="n"/>
      <c r="I85" s="92" t="n"/>
      <c r="J85" s="92" t="n"/>
    </row>
    <row r="86" ht="8.25" customHeight="1">
      <c r="B86" s="14" t="n"/>
      <c r="C86" s="15" t="n"/>
      <c r="D86" s="16" t="n"/>
      <c r="E86" s="17" t="n"/>
      <c r="F86" s="17" t="n"/>
      <c r="G86" s="96" t="n"/>
      <c r="H86" s="97" t="n"/>
      <c r="I86" s="98" t="n"/>
      <c r="J86" s="98" t="n"/>
    </row>
    <row r="87" customFormat="1" s="1">
      <c r="B87" s="1" t="inlineStr">
        <is>
          <t>Summe</t>
        </is>
      </c>
      <c r="C87" s="18" t="n"/>
      <c r="D87" s="19" t="n"/>
      <c r="E87" s="20">
        <f>+SUM(E80:E86)</f>
        <v/>
      </c>
      <c r="F87" s="20">
        <f>+SUM(F80:F86)</f>
        <v/>
      </c>
      <c r="G87" s="99" t="n"/>
      <c r="H87" s="100" t="n"/>
      <c r="I87" s="101" t="n"/>
      <c r="J87" s="101" t="n"/>
    </row>
    <row r="88" ht="6.75" customHeight="1" thickBot="1">
      <c r="B88" s="7" t="n"/>
      <c r="C88" s="8" t="n"/>
      <c r="D88" s="7" t="n"/>
      <c r="E88" s="7" t="n"/>
      <c r="F88" s="7" t="n"/>
      <c r="G88" s="102" t="n"/>
      <c r="H88" s="103" t="n"/>
      <c r="I88" s="103" t="n"/>
      <c r="J88" s="103" t="n"/>
    </row>
    <row r="89">
      <c r="G89" s="86" t="n"/>
      <c r="H89" s="87" t="n"/>
      <c r="I89" s="87" t="n"/>
      <c r="J89" s="87" t="n"/>
    </row>
    <row r="90">
      <c r="B90" s="10" t="inlineStr">
        <is>
          <t>Einheit 3</t>
        </is>
      </c>
      <c r="C90" s="10" t="n"/>
      <c r="D90" s="10" t="n"/>
      <c r="E90" s="10" t="n"/>
      <c r="F90" s="10" t="n"/>
      <c r="G90" s="80" t="n"/>
      <c r="H90" s="81" t="n"/>
      <c r="I90" s="81" t="n"/>
      <c r="J90" s="81" t="n"/>
    </row>
    <row r="91">
      <c r="B91" s="6" t="inlineStr">
        <is>
          <t>Art (z.B. WG, Büro, etc.)</t>
        </is>
      </c>
      <c r="C91" s="27" t="inlineStr">
        <is>
          <t>Nebenfläche</t>
        </is>
      </c>
      <c r="D91" s="26" t="n"/>
      <c r="E91" s="26" t="n"/>
      <c r="F91" s="26" t="n"/>
      <c r="G91" s="82" t="n"/>
      <c r="H91" s="83" t="n"/>
      <c r="I91" s="83" t="n"/>
      <c r="J91" s="83" t="n"/>
    </row>
    <row r="92">
      <c r="B92" s="6" t="inlineStr">
        <is>
          <t>Lage der Mietfläche (z.B. EG, 1. OG)</t>
        </is>
      </c>
      <c r="C92" s="27" t="inlineStr">
        <is>
          <t>4. OG</t>
        </is>
      </c>
      <c r="D92" s="26" t="n"/>
      <c r="E92" s="26" t="n"/>
      <c r="F92" s="26" t="n"/>
      <c r="G92" s="82" t="n"/>
      <c r="H92" s="83" t="n"/>
      <c r="I92" s="83" t="n"/>
      <c r="J92" s="83" t="n"/>
      <c r="L92" s="47" t="n"/>
    </row>
    <row r="93">
      <c r="B93" s="6" t="inlineStr">
        <is>
          <t>Kapazität (Anzahl Betten)</t>
        </is>
      </c>
      <c r="C93" s="27" t="n">
        <v>0</v>
      </c>
      <c r="D93" s="26" t="n"/>
      <c r="E93" s="26" t="n"/>
      <c r="F93" s="26" t="n"/>
      <c r="G93" s="82" t="n"/>
      <c r="H93" s="83" t="n"/>
      <c r="I93" s="83" t="n"/>
      <c r="J93" s="83" t="n"/>
    </row>
    <row r="94">
      <c r="B94" s="6" t="inlineStr">
        <is>
          <t>Größe der Fläche (in qm)</t>
        </is>
      </c>
      <c r="C94" s="28" t="n">
        <v>59</v>
      </c>
      <c r="D94" s="26" t="n"/>
      <c r="E94" s="26" t="n"/>
      <c r="F94" s="26" t="n"/>
      <c r="G94" s="84" t="n"/>
      <c r="H94" s="83" t="n"/>
      <c r="I94" s="83" t="n"/>
      <c r="J94" s="83" t="n"/>
    </row>
    <row r="95">
      <c r="B95" s="6" t="inlineStr">
        <is>
          <t>Mietbeginn (falls abweichned)</t>
        </is>
      </c>
      <c r="C95" s="29" t="n">
        <v>44301</v>
      </c>
      <c r="D95" s="26" t="n"/>
      <c r="E95" s="26" t="n"/>
      <c r="F95" s="26" t="n"/>
      <c r="G95" s="85" t="n"/>
      <c r="H95" s="83" t="n"/>
      <c r="I95" s="83" t="n"/>
      <c r="J95" s="83" t="n"/>
    </row>
    <row r="96">
      <c r="G96" s="86" t="n"/>
      <c r="H96" s="87" t="n"/>
      <c r="I96" s="87" t="n"/>
      <c r="J96" s="87" t="n"/>
    </row>
    <row r="97">
      <c r="B97" s="11" t="inlineStr">
        <is>
          <t>Kosten Einheit 3</t>
        </is>
      </c>
      <c r="C97" s="12" t="inlineStr">
        <is>
          <t>Anzahl</t>
        </is>
      </c>
      <c r="D97" s="12" t="inlineStr">
        <is>
          <t>€ pro Einheit</t>
        </is>
      </c>
      <c r="E97" s="12" t="inlineStr">
        <is>
          <t>€ pro Monat</t>
        </is>
      </c>
      <c r="F97" s="12" t="inlineStr">
        <is>
          <t>€ pro Jahr</t>
        </is>
      </c>
      <c r="G97" s="88" t="n"/>
      <c r="H97" s="89" t="n"/>
      <c r="I97" s="89" t="n"/>
      <c r="J97" s="89" t="n"/>
    </row>
    <row r="98">
      <c r="B98" s="2" t="inlineStr">
        <is>
          <t>Nettokaltmiete</t>
        </is>
      </c>
      <c r="C98" s="30" t="n">
        <v>59</v>
      </c>
      <c r="D98" s="31" t="n">
        <v>14.95</v>
      </c>
      <c r="E98" s="13">
        <f>+C98*D98</f>
        <v/>
      </c>
      <c r="F98" s="13">
        <f>+E98*12</f>
        <v/>
      </c>
      <c r="G98" s="90" t="n"/>
      <c r="H98" s="91" t="n"/>
      <c r="I98" s="92" t="n"/>
      <c r="J98" s="92" t="n"/>
    </row>
    <row r="99">
      <c r="B99" s="6" t="inlineStr">
        <is>
          <t>Nebenkostenpauschale</t>
        </is>
      </c>
      <c r="C99" s="32">
        <f>+C98</f>
        <v/>
      </c>
      <c r="D99" s="33" t="n">
        <v>3.5</v>
      </c>
      <c r="E99" s="13">
        <f>+C99*D99</f>
        <v/>
      </c>
      <c r="F99" s="13">
        <f>+E99*12</f>
        <v/>
      </c>
      <c r="G99" s="93" t="n"/>
      <c r="H99" s="94" t="n"/>
      <c r="I99" s="92" t="n"/>
      <c r="J99" s="92" t="n"/>
    </row>
    <row r="100">
      <c r="B100" s="6" t="inlineStr">
        <is>
          <t>Stellplätze</t>
        </is>
      </c>
      <c r="C100" s="34" t="n">
        <v>0</v>
      </c>
      <c r="D100" s="33" t="n">
        <v>0</v>
      </c>
      <c r="E100" s="13">
        <f>+C100*D100</f>
        <v/>
      </c>
      <c r="F100" s="13">
        <f>+E100*12</f>
        <v/>
      </c>
      <c r="G100" s="95" t="n"/>
      <c r="H100" s="94" t="n"/>
      <c r="I100" s="92" t="n"/>
      <c r="J100" s="92" t="n"/>
    </row>
    <row r="101">
      <c r="B101" s="6" t="inlineStr">
        <is>
          <t>Terasse</t>
        </is>
      </c>
      <c r="C101" s="32" t="n">
        <v>0</v>
      </c>
      <c r="D101" s="33" t="n">
        <v>0</v>
      </c>
      <c r="E101" s="13">
        <f>+C101*D101</f>
        <v/>
      </c>
      <c r="F101" s="13">
        <f>+E101*12</f>
        <v/>
      </c>
      <c r="G101" s="93" t="n"/>
      <c r="H101" s="94" t="n"/>
      <c r="I101" s="92" t="n"/>
      <c r="J101" s="92" t="n"/>
    </row>
    <row r="102">
      <c r="B102" s="6" t="inlineStr">
        <is>
          <t>Keller</t>
        </is>
      </c>
      <c r="C102" s="32" t="n">
        <v>0</v>
      </c>
      <c r="D102" s="33" t="n">
        <v>0</v>
      </c>
      <c r="E102" s="13">
        <f>+C102*D102</f>
        <v/>
      </c>
      <c r="F102" s="13">
        <f>+E102*12</f>
        <v/>
      </c>
      <c r="G102" s="93" t="n"/>
      <c r="H102" s="94" t="n"/>
      <c r="I102" s="92" t="n"/>
      <c r="J102" s="92" t="n"/>
    </row>
    <row r="103">
      <c r="B103" s="6" t="inlineStr">
        <is>
          <t>Sonstiges</t>
        </is>
      </c>
      <c r="C103" s="34" t="n">
        <v>0</v>
      </c>
      <c r="D103" s="33" t="n">
        <v>0</v>
      </c>
      <c r="E103" s="13">
        <f>+C103*D103</f>
        <v/>
      </c>
      <c r="F103" s="13">
        <f>+E103*12</f>
        <v/>
      </c>
      <c r="G103" s="95" t="n"/>
      <c r="H103" s="94" t="n"/>
      <c r="I103" s="92" t="n"/>
      <c r="J103" s="92" t="n"/>
    </row>
    <row r="104" ht="8.25" customHeight="1">
      <c r="B104" s="14" t="n"/>
      <c r="C104" s="15" t="n"/>
      <c r="D104" s="16" t="n"/>
      <c r="E104" s="17" t="n"/>
      <c r="F104" s="17" t="n"/>
      <c r="G104" s="96" t="n"/>
      <c r="H104" s="97" t="n"/>
      <c r="I104" s="98" t="n"/>
      <c r="J104" s="98" t="n"/>
    </row>
    <row r="105" customFormat="1" s="1">
      <c r="B105" s="1" t="inlineStr">
        <is>
          <t>Summe</t>
        </is>
      </c>
      <c r="C105" s="18" t="n"/>
      <c r="D105" s="19" t="n"/>
      <c r="E105" s="20">
        <f>+SUM(E98:E104)</f>
        <v/>
      </c>
      <c r="F105" s="20">
        <f>+SUM(F98:F104)</f>
        <v/>
      </c>
      <c r="G105" s="99" t="n"/>
      <c r="H105" s="100" t="n"/>
      <c r="I105" s="101" t="n"/>
      <c r="J105" s="101" t="n"/>
    </row>
    <row r="106" ht="6.75" customHeight="1" thickBot="1">
      <c r="B106" s="7" t="n"/>
      <c r="C106" s="8" t="n"/>
      <c r="D106" s="7" t="n"/>
      <c r="E106" s="7" t="n"/>
      <c r="F106" s="7" t="n"/>
      <c r="G106" s="55" t="n"/>
      <c r="H106" s="7" t="n"/>
      <c r="I106" s="7" t="n"/>
      <c r="J106" s="7" t="n"/>
    </row>
    <row r="107">
      <c r="G107" s="52" t="n"/>
    </row>
    <row r="108">
      <c r="B108" s="11" t="inlineStr">
        <is>
          <t>Kosten gesamt</t>
        </is>
      </c>
      <c r="C108" s="12" t="inlineStr">
        <is>
          <t>Anzahl</t>
        </is>
      </c>
      <c r="D108" s="12" t="inlineStr">
        <is>
          <t>€ pro Einheit</t>
        </is>
      </c>
      <c r="E108" s="12" t="inlineStr">
        <is>
          <t>€ pro Monat</t>
        </is>
      </c>
      <c r="F108" s="12" t="inlineStr">
        <is>
          <t>€ pro Jahr</t>
        </is>
      </c>
      <c r="G108" s="12" t="inlineStr">
        <is>
          <t>Anzahl</t>
        </is>
      </c>
      <c r="H108" s="12" t="inlineStr">
        <is>
          <t>€ pro Einheit</t>
        </is>
      </c>
      <c r="I108" s="12" t="inlineStr">
        <is>
          <t>€ pro Monat</t>
        </is>
      </c>
      <c r="J108" s="12" t="inlineStr">
        <is>
          <t>€ pro Jahr</t>
        </is>
      </c>
    </row>
    <row r="109">
      <c r="B109" s="2" t="inlineStr">
        <is>
          <t>Nettokaltmiete</t>
        </is>
      </c>
      <c r="C109" s="109">
        <f>+C62+C80+C98</f>
        <v/>
      </c>
      <c r="D109" s="110">
        <f>+IFERROR(E109/C109,0)</f>
        <v/>
      </c>
      <c r="E109" s="111">
        <f>+E62+E80+E98</f>
        <v/>
      </c>
      <c r="F109" s="111">
        <f>+E109*12</f>
        <v/>
      </c>
      <c r="G109" s="112">
        <f>+G62+G80+G98</f>
        <v/>
      </c>
      <c r="H109" s="110">
        <f>+IFERROR(I109/G109,0)</f>
        <v/>
      </c>
      <c r="I109" s="111">
        <f>+I62+I80+I98</f>
        <v/>
      </c>
      <c r="J109" s="111">
        <f>+I109*12</f>
        <v/>
      </c>
    </row>
    <row r="110">
      <c r="B110" s="6" t="inlineStr">
        <is>
          <t>Nebenkostenpauschale</t>
        </is>
      </c>
      <c r="C110" s="109">
        <f>+C63+C81+C99</f>
        <v/>
      </c>
      <c r="D110" s="110">
        <f>+IFERROR(E110/C110,0)</f>
        <v/>
      </c>
      <c r="E110" s="111">
        <f>+E63+E81+E99</f>
        <v/>
      </c>
      <c r="F110" s="111">
        <f>+E110*12</f>
        <v/>
      </c>
      <c r="G110" s="112">
        <f>+G63+G81+G99</f>
        <v/>
      </c>
      <c r="H110" s="110">
        <f>+IFERROR(I110/G110,0)</f>
        <v/>
      </c>
      <c r="I110" s="111">
        <f>+I63+I81+I99</f>
        <v/>
      </c>
      <c r="J110" s="111">
        <f>+I110*12</f>
        <v/>
      </c>
    </row>
    <row r="111">
      <c r="B111" s="6" t="inlineStr">
        <is>
          <t>Stellplätze</t>
        </is>
      </c>
      <c r="C111" s="109">
        <f>+C64+C82+C100</f>
        <v/>
      </c>
      <c r="D111" s="110">
        <f>+IFERROR(E111/C111,0)</f>
        <v/>
      </c>
      <c r="E111" s="111">
        <f>+E64+E82+E100</f>
        <v/>
      </c>
      <c r="F111" s="111">
        <f>+E111*12</f>
        <v/>
      </c>
      <c r="G111" s="112">
        <f>+G64+G82+G100</f>
        <v/>
      </c>
      <c r="H111" s="110">
        <f>+IFERROR(I111/G111,0)</f>
        <v/>
      </c>
      <c r="I111" s="111">
        <f>+I64+I82+I100</f>
        <v/>
      </c>
      <c r="J111" s="111">
        <f>+I111*12</f>
        <v/>
      </c>
    </row>
    <row r="112">
      <c r="B112" s="6" t="inlineStr">
        <is>
          <t>Terasse</t>
        </is>
      </c>
      <c r="C112" s="109">
        <f>+C65+C83+C101</f>
        <v/>
      </c>
      <c r="D112" s="110">
        <f>+IFERROR(E112/C112,0)</f>
        <v/>
      </c>
      <c r="E112" s="111">
        <f>+E65+E83+E101</f>
        <v/>
      </c>
      <c r="F112" s="111">
        <f>+E112*12</f>
        <v/>
      </c>
      <c r="G112" s="112">
        <f>+G65+G83+G101</f>
        <v/>
      </c>
      <c r="H112" s="110">
        <f>+IFERROR(I112/G112,0)</f>
        <v/>
      </c>
      <c r="I112" s="111">
        <f>+I65+I83+I101</f>
        <v/>
      </c>
      <c r="J112" s="111">
        <f>+I112*12</f>
        <v/>
      </c>
    </row>
    <row r="113">
      <c r="B113" s="6" t="inlineStr">
        <is>
          <t>Keller</t>
        </is>
      </c>
      <c r="C113" s="109">
        <f>+C66+C84+C102</f>
        <v/>
      </c>
      <c r="D113" s="110">
        <f>+IFERROR(E113/C113,0)</f>
        <v/>
      </c>
      <c r="E113" s="111">
        <f>+E66+E84+E102</f>
        <v/>
      </c>
      <c r="F113" s="111">
        <f>+E113*12</f>
        <v/>
      </c>
      <c r="G113" s="112">
        <f>+G66+G84+G102</f>
        <v/>
      </c>
      <c r="H113" s="110">
        <f>+IFERROR(I113/G113,0)</f>
        <v/>
      </c>
      <c r="I113" s="111">
        <f>+I66+I84+I102</f>
        <v/>
      </c>
      <c r="J113" s="111">
        <f>+I113*12</f>
        <v/>
      </c>
    </row>
    <row r="114">
      <c r="B114" s="6" t="inlineStr">
        <is>
          <t>Sonstiges</t>
        </is>
      </c>
      <c r="C114" s="109">
        <f>+C67+C85+C103</f>
        <v/>
      </c>
      <c r="D114" s="110">
        <f>+IFERROR(E114/C114,0)</f>
        <v/>
      </c>
      <c r="E114" s="111">
        <f>+E67+E85+E103</f>
        <v/>
      </c>
      <c r="F114" s="111">
        <f>+E114*12</f>
        <v/>
      </c>
      <c r="G114" s="112">
        <f>+G67+G85+G103</f>
        <v/>
      </c>
      <c r="H114" s="110">
        <f>+IFERROR(I114/G114,0)</f>
        <v/>
      </c>
      <c r="I114" s="111">
        <f>+I67+I85+I103</f>
        <v/>
      </c>
      <c r="J114" s="111">
        <f>+I114*12</f>
        <v/>
      </c>
    </row>
    <row r="115">
      <c r="B115" s="14" t="n"/>
      <c r="C115" s="15" t="n"/>
      <c r="D115" s="16" t="n"/>
      <c r="E115" s="17" t="n"/>
      <c r="F115" s="17" t="n"/>
      <c r="G115" s="15" t="n"/>
      <c r="H115" s="16" t="n"/>
      <c r="I115" s="17" t="n"/>
      <c r="J115" s="17" t="n"/>
    </row>
    <row r="116">
      <c r="B116" s="1" t="inlineStr">
        <is>
          <t>Summe</t>
        </is>
      </c>
      <c r="C116" s="18" t="n"/>
      <c r="D116" s="19" t="n"/>
      <c r="E116" s="20">
        <f>+SUM(E109:E115)</f>
        <v/>
      </c>
      <c r="F116" s="20">
        <f>+F69+F87+F105</f>
        <v/>
      </c>
      <c r="G116" s="18" t="n"/>
      <c r="H116" s="19" t="n"/>
      <c r="I116" s="20">
        <f>+SUM(I109:I115)</f>
        <v/>
      </c>
      <c r="J116" s="20">
        <f>+J69</f>
        <v/>
      </c>
      <c r="K116" s="13">
        <f>+F116-J116</f>
        <v/>
      </c>
    </row>
    <row r="117">
      <c r="G117" s="52" t="n"/>
    </row>
    <row r="120" hidden="1" outlineLevel="1"/>
    <row r="121" hidden="1" outlineLevel="1"/>
    <row r="122" hidden="1" outlineLevel="1"/>
    <row r="123" hidden="1" outlineLevel="1"/>
    <row r="124" hidden="1" outlineLevel="1"/>
    <row r="125" hidden="1" outlineLevel="1"/>
    <row r="126" hidden="1" outlineLevel="1"/>
    <row r="127" hidden="1" outlineLevel="1"/>
    <row r="128" hidden="1" outlineLevel="1"/>
    <row r="129" hidden="1" outlineLevel="1">
      <c r="L129" s="47" t="n"/>
    </row>
    <row r="130" hidden="1" outlineLevel="1"/>
    <row r="131" hidden="1" outlineLevel="1"/>
    <row r="132" hidden="1" outlineLevel="1" ht="8.25" customHeight="1"/>
    <row r="133" hidden="1" outlineLevel="1" customFormat="1" s="1"/>
    <row r="134" hidden="1" outlineLevel="1" ht="6.75" customHeight="1"/>
    <row r="135" hidden="1" outlineLevel="1" ht="6.75" customHeight="1"/>
    <row r="136" hidden="1" outlineLevel="1"/>
    <row r="137" hidden="1" outlineLevel="1"/>
    <row r="138" hidden="1" outlineLevel="1"/>
    <row r="139" hidden="1" outlineLevel="1" ht="6.75" customHeight="1"/>
    <row r="140" hidden="1" outlineLevel="1"/>
    <row r="141" hidden="1" outlineLevel="1"/>
    <row r="142" hidden="1" outlineLevel="1"/>
    <row r="143" hidden="1" outlineLevel="1"/>
    <row r="144" hidden="1" outlineLevel="1"/>
    <row r="145" hidden="1" outlineLevel="1"/>
    <row r="146" hidden="1" outlineLevel="1"/>
    <row r="147" hidden="1" outlineLevel="1"/>
    <row r="148" hidden="1" outlineLevel="1"/>
    <row r="149" hidden="1" outlineLevel="1"/>
    <row r="150" hidden="1" outlineLevel="1"/>
    <row r="151" hidden="1" outlineLevel="1"/>
    <row r="152" hidden="1" outlineLevel="1"/>
    <row r="153" hidden="1" outlineLevel="1" ht="8.25" customHeight="1"/>
    <row r="154" hidden="1" outlineLevel="1" customFormat="1" s="1"/>
    <row r="155" hidden="1" outlineLevel="1" ht="6.75" customHeight="1"/>
    <row r="156" hidden="1" outlineLevel="1"/>
    <row r="157" collapsed="1"/>
    <row r="158">
      <c r="B158" s="78" t="inlineStr">
        <is>
          <t>Berechnung Indexklausel – Stand 08/2026, Referenzindex 07/2026; Forderung Vermieter 14,95 €/qm</t>
        </is>
      </c>
      <c r="G158" s="126" t="n"/>
    </row>
    <row r="159">
      <c r="B159" s="6" t="n"/>
      <c r="C159" s="104" t="n"/>
    </row>
    <row r="160">
      <c r="B160" s="127" t="inlineStr">
        <is>
          <t>Referenzwerte VPI Deutschland (Destatis, Basis 2020 = 100)</t>
        </is>
      </c>
      <c r="C160" s="104" t="n"/>
    </row>
    <row r="161">
      <c r="B161" s="128" t="inlineStr">
        <is>
          <t>VPI 04/2021 – Basis: Flächen 2./3. + 4. OG, 9 Stellplätze</t>
        </is>
      </c>
      <c r="C161" s="129" t="n">
        <v>102.4</v>
      </c>
    </row>
    <row r="162">
      <c r="B162" s="128" t="inlineStr">
        <is>
          <t>VPI 04/2022 – Basis: Keller Nr. 09, 2 Stellplätze</t>
        </is>
      </c>
      <c r="C162" s="129" t="n">
        <v>108.8</v>
      </c>
    </row>
    <row r="163">
      <c r="B163" s="128" t="inlineStr">
        <is>
          <t>VPI 04/2023 – Basis: Keller 70 qm</t>
        </is>
      </c>
      <c r="C163" s="129" t="n">
        <v>116.6</v>
      </c>
    </row>
    <row r="164">
      <c r="B164" s="128" t="inlineStr">
        <is>
          <t>VPI 10/2023 – Basis: 1. OG, 3 Stellplätze</t>
        </is>
      </c>
      <c r="C164" s="129" t="n">
        <v>117.8</v>
      </c>
    </row>
    <row r="165">
      <c r="B165" s="128" t="inlineStr">
        <is>
          <t>VPI Referenzmonat – 07/2026 = 125,6 (aktuellster Stand); 04/2025 = 121,7</t>
        </is>
      </c>
      <c r="C165" s="129" t="n">
        <v>125.6</v>
      </c>
    </row>
    <row r="166">
      <c r="B166" s="6" t="n"/>
      <c r="C166" s="108" t="n"/>
    </row>
    <row r="167">
      <c r="B167" s="130" t="inlineStr">
        <is>
          <t>Position</t>
        </is>
      </c>
      <c r="C167" s="130" t="inlineStr">
        <is>
          <t>Menge</t>
        </is>
      </c>
      <c r="D167" s="130" t="inlineStr">
        <is>
          <t>alt € / Einheit</t>
        </is>
      </c>
      <c r="E167" s="130" t="inlineStr">
        <is>
          <t>Basis-VPI</t>
        </is>
      </c>
      <c r="F167" s="130" t="inlineStr">
        <is>
          <t>Indexveränderung</t>
        </is>
      </c>
      <c r="G167" s="130" t="inlineStr">
        <is>
          <t>zulässig € / Einheit</t>
        </is>
      </c>
      <c r="H167" s="130" t="inlineStr">
        <is>
          <t>alt € / Monat</t>
        </is>
      </c>
      <c r="I167" s="130" t="inlineStr">
        <is>
          <t>neu € / Monat</t>
        </is>
      </c>
      <c r="J167" s="130" t="inlineStr">
        <is>
          <t>Differenz € / Monat</t>
        </is>
      </c>
    </row>
    <row r="168">
      <c r="B168" s="128" t="inlineStr">
        <is>
          <t>Flächen 2./3. OG</t>
        </is>
      </c>
      <c r="C168" s="131" t="n">
        <v>695.28</v>
      </c>
      <c r="D168" s="104" t="n">
        <v>12.5</v>
      </c>
      <c r="E168" s="132">
        <f>+$C$161</f>
        <v/>
      </c>
      <c r="F168" s="133">
        <f>+$C$165/E168-1</f>
        <v/>
      </c>
      <c r="G168" s="107">
        <f>+IF(F168&gt;0.05,D168*(1+F168),D168)</f>
        <v/>
      </c>
      <c r="H168" s="107">
        <f>+C168*D168</f>
        <v/>
      </c>
      <c r="I168" s="107">
        <f>+C168*G168</f>
        <v/>
      </c>
      <c r="J168" s="107">
        <f>+I168-H168</f>
        <v/>
      </c>
    </row>
    <row r="169">
      <c r="B169" s="128" t="inlineStr">
        <is>
          <t>Fläche 4. OG</t>
        </is>
      </c>
      <c r="C169" s="131" t="n">
        <v>59</v>
      </c>
      <c r="D169" s="104" t="n">
        <v>12.5</v>
      </c>
      <c r="E169" s="132">
        <f>+$C$161</f>
        <v/>
      </c>
      <c r="F169" s="133">
        <f>+$C$165/E169-1</f>
        <v/>
      </c>
      <c r="G169" s="107">
        <f>+IF(F169&gt;0.05,D169*(1+F169),D169)</f>
        <v/>
      </c>
      <c r="H169" s="107">
        <f>+C169*D169</f>
        <v/>
      </c>
      <c r="I169" s="107">
        <f>+C169*G169</f>
        <v/>
      </c>
      <c r="J169" s="107">
        <f>+I169-H169</f>
        <v/>
      </c>
    </row>
    <row r="170">
      <c r="B170" s="128" t="inlineStr">
        <is>
          <t>Fläche 1. OG</t>
        </is>
      </c>
      <c r="C170" s="131" t="n">
        <v>350.32</v>
      </c>
      <c r="D170" s="104" t="n">
        <v>12.5</v>
      </c>
      <c r="E170" s="132">
        <f>+$C$164</f>
        <v/>
      </c>
      <c r="F170" s="133">
        <f>+$C$165/E170-1</f>
        <v/>
      </c>
      <c r="G170" s="107">
        <f>+IF(F170&gt;0.05,D170*(1+F170),D170)</f>
        <v/>
      </c>
      <c r="H170" s="107">
        <f>+C170*D170</f>
        <v/>
      </c>
      <c r="I170" s="107">
        <f>+C170*G170</f>
        <v/>
      </c>
      <c r="J170" s="107">
        <f>+I170-H170</f>
        <v/>
      </c>
    </row>
    <row r="171">
      <c r="B171" s="128" t="inlineStr">
        <is>
          <t>Keller Nr. 09</t>
        </is>
      </c>
      <c r="C171" s="131" t="n">
        <v>18.65</v>
      </c>
      <c r="D171" s="104" t="n">
        <v>5</v>
      </c>
      <c r="E171" s="132">
        <f>+$C$162</f>
        <v/>
      </c>
      <c r="F171" s="133">
        <f>+$C$165/E171-1</f>
        <v/>
      </c>
      <c r="G171" s="107">
        <f>+IF(F171&gt;0.05,D171*(1+F171),D171)</f>
        <v/>
      </c>
      <c r="H171" s="107">
        <f>+C171*D171</f>
        <v/>
      </c>
      <c r="I171" s="107">
        <f>+C171*G171</f>
        <v/>
      </c>
      <c r="J171" s="107">
        <f>+I171-H171</f>
        <v/>
      </c>
    </row>
    <row r="172">
      <c r="B172" s="128" t="inlineStr">
        <is>
          <t>Keller 70 qm</t>
        </is>
      </c>
      <c r="C172" s="131" t="n">
        <v>70</v>
      </c>
      <c r="D172" s="104" t="n">
        <v>5</v>
      </c>
      <c r="E172" s="132">
        <f>+$C$163</f>
        <v/>
      </c>
      <c r="F172" s="133">
        <f>+$C$165/E172-1</f>
        <v/>
      </c>
      <c r="G172" s="107">
        <f>+IF(F172&gt;0.05,D172*(1+F172),D172)</f>
        <v/>
      </c>
      <c r="H172" s="107">
        <f>+C172*D172</f>
        <v/>
      </c>
      <c r="I172" s="107">
        <f>+C172*G172</f>
        <v/>
      </c>
      <c r="J172" s="107">
        <f>+I172-H172</f>
        <v/>
      </c>
    </row>
    <row r="173">
      <c r="B173" s="128" t="inlineStr">
        <is>
          <t>Stellplätze (ab 04/2021)</t>
        </is>
      </c>
      <c r="C173" s="131" t="n">
        <v>9</v>
      </c>
      <c r="D173" s="104" t="n">
        <v>40</v>
      </c>
      <c r="E173" s="132">
        <f>+$C$161</f>
        <v/>
      </c>
      <c r="F173" s="133">
        <f>+$C$165/E173-1</f>
        <v/>
      </c>
      <c r="G173" s="107">
        <f>+IF(F173&gt;0.05,D173*(1+F173),D173)</f>
        <v/>
      </c>
      <c r="H173" s="107">
        <f>+C173*D173</f>
        <v/>
      </c>
      <c r="I173" s="107">
        <f>+C173*G173</f>
        <v/>
      </c>
      <c r="J173" s="107">
        <f>+I173-H173</f>
        <v/>
      </c>
    </row>
    <row r="174">
      <c r="B174" s="128" t="inlineStr">
        <is>
          <t>Stellplätze (ab 04/2022)</t>
        </is>
      </c>
      <c r="C174" s="131" t="n">
        <v>2</v>
      </c>
      <c r="D174" s="104" t="n">
        <v>60</v>
      </c>
      <c r="E174" s="132">
        <f>+$C$162</f>
        <v/>
      </c>
      <c r="F174" s="133">
        <f>+$C$165/E174-1</f>
        <v/>
      </c>
      <c r="G174" s="107">
        <f>+IF(F174&gt;0.05,D174*(1+F174),D174)</f>
        <v/>
      </c>
      <c r="H174" s="107">
        <f>+C174*D174</f>
        <v/>
      </c>
      <c r="I174" s="107">
        <f>+C174*G174</f>
        <v/>
      </c>
      <c r="J174" s="107">
        <f>+I174-H174</f>
        <v/>
      </c>
    </row>
    <row r="175">
      <c r="B175" s="128" t="inlineStr">
        <is>
          <t>Stellplätze (ab 10/2023)</t>
        </is>
      </c>
      <c r="C175" s="131" t="n">
        <v>3</v>
      </c>
      <c r="D175" s="104" t="n">
        <v>60</v>
      </c>
      <c r="E175" s="132">
        <f>+$C$164</f>
        <v/>
      </c>
      <c r="F175" s="133">
        <f>+$C$165/E175-1</f>
        <v/>
      </c>
      <c r="G175" s="107">
        <f>+IF(F175&gt;0.05,D175*(1+F175),D175)</f>
        <v/>
      </c>
      <c r="H175" s="107">
        <f>+C175*D175</f>
        <v/>
      </c>
      <c r="I175" s="107">
        <f>+C175*G175</f>
        <v/>
      </c>
      <c r="J175" s="107">
        <f>+I175-H175</f>
        <v/>
      </c>
    </row>
    <row r="176">
      <c r="B176" s="134" t="inlineStr">
        <is>
          <t>Summe</t>
        </is>
      </c>
      <c r="F176" s="136">
        <f>+IFERROR(I176/H176-1,"")</f>
        <v/>
      </c>
      <c r="H176" s="135">
        <f>+SUM(H168:H175)</f>
        <v/>
      </c>
      <c r="I176" s="135">
        <f>+SUM(I168:I175)</f>
        <v/>
      </c>
      <c r="J176" s="135">
        <f>+SUM(J168:J175)</f>
        <v/>
      </c>
    </row>
    <row r="177">
      <c r="B177" s="128" t="inlineStr">
        <is>
          <t>einheitlicher Satz über alle Mietflächen (€/qm)</t>
        </is>
      </c>
      <c r="C177" s="135">
        <f>+(I168+I169+I170)/(C168+C169+C170)</f>
        <v/>
      </c>
    </row>
    <row r="178">
      <c r="B178" s="128" t="inlineStr">
        <is>
          <t>Forderung Vermieter (€/qm)</t>
        </is>
      </c>
      <c r="C178" s="104" t="n">
        <v>14.95</v>
      </c>
    </row>
    <row r="179">
      <c r="B179" s="128" t="inlineStr">
        <is>
          <t>implizite Erhöhung gegenüber 12,50 €</t>
        </is>
      </c>
      <c r="C179" s="133">
        <f>+C178/D168-1</f>
        <v/>
      </c>
    </row>
    <row r="180">
      <c r="B180" s="128" t="inlineStr">
        <is>
          <t>Nettokaltmiete Flächen nach Forderung (€/Monat)</t>
        </is>
      </c>
      <c r="C180" s="107">
        <f>+(C168+C169+C170)*C178</f>
        <v/>
      </c>
    </row>
    <row r="181">
      <c r="B181" s="128" t="inlineStr">
        <is>
          <t>davon nicht durch die Indexklausel gedeckt (€/Monat)</t>
        </is>
      </c>
      <c r="C181" s="135">
        <f>+C180-(I168+I169+I170)</f>
        <v/>
      </c>
    </row>
    <row r="182" ht="15.75" customHeight="1" thickBot="1">
      <c r="B182" s="23" t="inlineStr">
        <is>
          <t>Capex</t>
        </is>
      </c>
      <c r="C182" s="23" t="inlineStr">
        <is>
          <t>Anmerkungen</t>
        </is>
      </c>
      <c r="D182" s="24" t="n"/>
      <c r="E182" s="24" t="n"/>
      <c r="F182" s="24" t="n"/>
      <c r="G182" s="69" t="inlineStr">
        <is>
          <t>Anmerkungen</t>
        </is>
      </c>
      <c r="H182" s="24" t="n"/>
      <c r="I182" s="24" t="n"/>
      <c r="J182" s="24" t="n"/>
    </row>
    <row r="183">
      <c r="B183" s="35" t="inlineStr">
        <is>
          <t>Möbel Patientenzimmer</t>
        </is>
      </c>
      <c r="C183" s="36" t="inlineStr">
        <is>
          <t>Mieter</t>
        </is>
      </c>
      <c r="D183" s="37" t="n"/>
      <c r="E183" s="38" t="n"/>
      <c r="F183" s="50" t="n">
        <v>0</v>
      </c>
      <c r="G183" s="70" t="inlineStr">
        <is>
          <t>Pflegebetten im Inventar</t>
        </is>
      </c>
      <c r="H183" s="37" t="n"/>
      <c r="I183" s="38" t="n"/>
      <c r="J183" s="33" t="n">
        <v>0</v>
      </c>
    </row>
    <row r="184">
      <c r="B184" s="35" t="inlineStr">
        <is>
          <t>Gemeinschaftsbereich</t>
        </is>
      </c>
      <c r="C184" s="25" t="inlineStr">
        <is>
          <t>Mieter</t>
        </is>
      </c>
      <c r="D184" s="39" t="n"/>
      <c r="E184" s="40" t="n"/>
      <c r="F184" s="50" t="n">
        <v>0</v>
      </c>
      <c r="G184" s="54" t="inlineStr">
        <is>
          <t>Einbauküchen, Vorhänge im Inventar</t>
        </is>
      </c>
      <c r="H184" s="39" t="n"/>
      <c r="I184" s="40" t="n"/>
      <c r="J184" s="33" t="n">
        <v>0</v>
      </c>
    </row>
    <row r="185">
      <c r="B185" s="35" t="inlineStr">
        <is>
          <t>Schwesternrufanlage</t>
        </is>
      </c>
      <c r="C185" s="25" t="inlineStr">
        <is>
          <t>Mieter</t>
        </is>
      </c>
      <c r="D185" s="39" t="n"/>
      <c r="E185" s="40" t="n"/>
      <c r="F185" s="50" t="n">
        <v>0</v>
      </c>
      <c r="G185" s="54" t="inlineStr">
        <is>
          <t>vorhanden; Unterhaltung als Nebenkosten</t>
        </is>
      </c>
      <c r="H185" s="39" t="n"/>
      <c r="I185" s="40" t="n"/>
      <c r="J185" s="33" t="n">
        <v>0</v>
      </c>
    </row>
    <row r="186">
      <c r="B186" s="35" t="inlineStr">
        <is>
          <t>Pflegebad</t>
        </is>
      </c>
      <c r="C186" s="25" t="inlineStr">
        <is>
          <t>XXX</t>
        </is>
      </c>
      <c r="D186" s="39" t="n"/>
      <c r="E186" s="40" t="n"/>
      <c r="F186" s="50" t="n">
        <v>0</v>
      </c>
      <c r="G186" s="54" t="inlineStr">
        <is>
          <t>XXX</t>
        </is>
      </c>
      <c r="H186" s="39" t="n"/>
      <c r="I186" s="40" t="n"/>
      <c r="J186" s="33" t="n">
        <v>0</v>
      </c>
    </row>
    <row r="187" ht="15.75" customHeight="1" thickBot="1">
      <c r="B187" s="35" t="inlineStr">
        <is>
          <t>Fäkalienspüle</t>
        </is>
      </c>
      <c r="C187" s="25" t="inlineStr">
        <is>
          <t>XXX</t>
        </is>
      </c>
      <c r="D187" s="39" t="n"/>
      <c r="E187" s="40" t="n"/>
      <c r="F187" s="50" t="n">
        <v>0</v>
      </c>
      <c r="G187" s="54" t="inlineStr">
        <is>
          <t>XXX</t>
        </is>
      </c>
      <c r="H187" s="39" t="n"/>
      <c r="I187" s="40" t="n"/>
      <c r="J187" s="33" t="n">
        <v>0</v>
      </c>
    </row>
    <row r="188">
      <c r="B188" s="35" t="inlineStr">
        <is>
          <t>Umbaukosten</t>
        </is>
      </c>
      <c r="C188" s="25" t="inlineStr">
        <is>
          <t>Vermieter baut aus; Sonderwünsche zu Lasten Mieter</t>
        </is>
      </c>
      <c r="D188" s="39" t="n"/>
      <c r="E188" s="40" t="n"/>
      <c r="F188" s="50" t="n">
        <v>0</v>
      </c>
      <c r="G188" s="54" t="inlineStr">
        <is>
          <t>kein Umbau - laufender Betrieb übernommen</t>
        </is>
      </c>
      <c r="H188" s="39" t="n"/>
      <c r="I188" s="40" t="n"/>
      <c r="J188" s="33" t="n">
        <v>0</v>
      </c>
    </row>
    <row r="189">
      <c r="B189" s="35" t="inlineStr">
        <is>
          <t>IT</t>
        </is>
      </c>
      <c r="C189" s="25" t="inlineStr">
        <is>
          <t>Mieter</t>
        </is>
      </c>
      <c r="D189" s="39" t="n"/>
      <c r="E189" s="40" t="n"/>
      <c r="F189" s="50" t="n">
        <v>0</v>
      </c>
      <c r="G189" s="54" t="inlineStr">
        <is>
          <t>Mieter</t>
        </is>
      </c>
      <c r="H189" s="39" t="n"/>
      <c r="I189" s="40" t="n"/>
      <c r="J189" s="33" t="n">
        <v>0</v>
      </c>
    </row>
    <row r="190">
      <c r="B190" s="35" t="inlineStr">
        <is>
          <t>Waschmaschinen</t>
        </is>
      </c>
      <c r="C190" s="25" t="inlineStr">
        <is>
          <t>XXX</t>
        </is>
      </c>
      <c r="D190" s="39" t="n"/>
      <c r="E190" s="40" t="n"/>
      <c r="F190" s="50" t="n">
        <v>0</v>
      </c>
      <c r="G190" s="54" t="inlineStr">
        <is>
          <t>XXX</t>
        </is>
      </c>
      <c r="H190" s="39" t="n"/>
      <c r="I190" s="40" t="n"/>
      <c r="J190" s="33" t="n">
        <v>0</v>
      </c>
    </row>
    <row r="191">
      <c r="B191" s="35" t="inlineStr">
        <is>
          <t>[Platzhalter]</t>
        </is>
      </c>
      <c r="C191" s="25" t="inlineStr">
        <is>
          <t>XXX</t>
        </is>
      </c>
      <c r="D191" s="39" t="n"/>
      <c r="E191" s="40" t="n"/>
      <c r="F191" s="50" t="n">
        <v>0</v>
      </c>
      <c r="G191" s="54" t="inlineStr">
        <is>
          <t>XXX</t>
        </is>
      </c>
      <c r="H191" s="39" t="n"/>
      <c r="I191" s="40" t="n"/>
      <c r="J191" s="33" t="n">
        <v>0</v>
      </c>
    </row>
    <row r="192">
      <c r="B192" s="35" t="inlineStr">
        <is>
          <t>[Platzhalter]</t>
        </is>
      </c>
      <c r="C192" s="25" t="inlineStr">
        <is>
          <t>XXX</t>
        </is>
      </c>
      <c r="D192" s="39" t="n"/>
      <c r="E192" s="40" t="n"/>
      <c r="F192" s="50" t="n">
        <v>0</v>
      </c>
      <c r="G192" s="54" t="inlineStr">
        <is>
          <t>XXX</t>
        </is>
      </c>
      <c r="H192" s="39" t="n"/>
      <c r="I192" s="40" t="n"/>
      <c r="J192" s="33" t="n">
        <v>0</v>
      </c>
    </row>
    <row r="193">
      <c r="B193" s="35" t="inlineStr">
        <is>
          <t>[Platzhalter]</t>
        </is>
      </c>
      <c r="C193" s="25" t="inlineStr">
        <is>
          <t>XXX</t>
        </is>
      </c>
      <c r="D193" s="39" t="n"/>
      <c r="E193" s="40" t="n"/>
      <c r="F193" s="50" t="n">
        <v>0</v>
      </c>
      <c r="G193" s="54" t="inlineStr">
        <is>
          <t>XXX</t>
        </is>
      </c>
      <c r="H193" s="39" t="n"/>
      <c r="I193" s="40" t="n"/>
      <c r="J193" s="33" t="n">
        <v>0</v>
      </c>
    </row>
    <row r="194">
      <c r="B194" s="14" t="n"/>
      <c r="C194" s="15" t="n"/>
      <c r="D194" s="16" t="n"/>
      <c r="E194" s="17" t="n"/>
      <c r="F194" s="17" t="n"/>
      <c r="G194" s="67" t="n"/>
      <c r="H194" s="16" t="n"/>
      <c r="I194" s="17" t="n"/>
      <c r="J194" s="17" t="n"/>
    </row>
    <row r="195">
      <c r="B195" s="1" t="inlineStr">
        <is>
          <t>Summe</t>
        </is>
      </c>
      <c r="C195" s="18" t="n"/>
      <c r="D195" s="19" t="n"/>
      <c r="E195" s="20" t="n"/>
      <c r="F195" s="20">
        <f>+SUM(F183:F194)</f>
        <v/>
      </c>
      <c r="G195" s="68" t="n"/>
      <c r="H195" s="19" t="n"/>
      <c r="I195" s="20" t="n"/>
      <c r="J195" s="20">
        <f>+SUM(J183:J194)</f>
        <v/>
      </c>
    </row>
    <row r="196">
      <c r="B196" s="7" t="n"/>
      <c r="C196" s="8" t="n"/>
      <c r="D196" s="7" t="n"/>
      <c r="E196" s="7" t="n"/>
      <c r="F196" s="7" t="n"/>
      <c r="G196" s="55" t="n"/>
      <c r="H196" s="7" t="n"/>
      <c r="I196" s="7" t="n"/>
      <c r="J196" s="7" t="n"/>
    </row>
    <row r="197">
      <c r="G197" s="52" t="n"/>
    </row>
    <row r="198">
      <c r="B198" s="21" t="inlineStr">
        <is>
          <t>davon:</t>
        </is>
      </c>
      <c r="G198" s="52" t="n"/>
    </row>
    <row r="199">
      <c r="B199" s="22" t="inlineStr">
        <is>
          <t>Übernahme Vermieter</t>
        </is>
      </c>
      <c r="C199" s="25" t="inlineStr">
        <is>
          <t>Ausbau nach Raumbuch (liegt nicht vor)</t>
        </is>
      </c>
      <c r="D199" s="39" t="n"/>
      <c r="E199" s="40" t="n"/>
      <c r="F199" s="50" t="n">
        <v>0</v>
      </c>
      <c r="G199" s="54" t="inlineStr">
        <is>
          <t>Inventar durch Vermieterseite gestellt</t>
        </is>
      </c>
      <c r="H199" s="39" t="n"/>
      <c r="I199" s="40" t="n"/>
      <c r="J199" s="33" t="n">
        <v>0</v>
      </c>
    </row>
    <row r="200">
      <c r="B200" s="22" t="inlineStr">
        <is>
          <t>Baukostenzuschuss Mieter</t>
        </is>
      </c>
      <c r="C200" s="25" t="inlineStr">
        <is>
          <t>600€/Monat für Statik, 1. OG</t>
        </is>
      </c>
      <c r="D200" s="39" t="n"/>
      <c r="E200" s="40" t="n"/>
      <c r="F200" s="50" t="n">
        <v>0</v>
      </c>
      <c r="G200" s="54" t="inlineStr">
        <is>
          <t>Kein BKZ</t>
        </is>
      </c>
      <c r="H200" s="39" t="n"/>
      <c r="I200" s="40" t="n"/>
      <c r="J200" s="33" t="n">
        <v>0</v>
      </c>
    </row>
    <row r="201">
      <c r="B201" s="7" t="n"/>
      <c r="C201" s="8" t="n"/>
      <c r="D201" s="7" t="n"/>
      <c r="E201" s="7" t="n"/>
      <c r="F201" s="7" t="n"/>
      <c r="G201" s="55" t="n"/>
      <c r="H201" s="7" t="n"/>
      <c r="I201" s="7" t="n"/>
      <c r="J201" s="7" t="n"/>
    </row>
    <row r="202">
      <c r="G202" s="52" t="n"/>
    </row>
    <row r="203" ht="15.75" customHeight="1" thickBot="1">
      <c r="G203" s="52" t="n"/>
    </row>
    <row r="204">
      <c r="B204" s="23" t="inlineStr">
        <is>
          <t>Ramp-up Kosten</t>
        </is>
      </c>
      <c r="C204" s="23" t="inlineStr">
        <is>
          <t>Anmerkungen</t>
        </is>
      </c>
      <c r="D204" s="24" t="n"/>
      <c r="E204" s="24" t="n"/>
      <c r="F204" s="24" t="n"/>
      <c r="G204" s="69" t="inlineStr">
        <is>
          <t>Anmerkungen</t>
        </is>
      </c>
      <c r="H204" s="24" t="n"/>
      <c r="I204" s="24" t="n"/>
      <c r="J204" s="24" t="n"/>
    </row>
    <row r="205">
      <c r="B205" s="35" t="inlineStr">
        <is>
          <t>Betriebsmittel</t>
        </is>
      </c>
      <c r="C205" s="36" t="inlineStr">
        <is>
          <t>XXX</t>
        </is>
      </c>
      <c r="D205" s="37" t="n"/>
      <c r="E205" s="38" t="n"/>
      <c r="F205" s="50" t="n">
        <v>0</v>
      </c>
      <c r="G205" s="70" t="inlineStr">
        <is>
          <t>XXX</t>
        </is>
      </c>
      <c r="H205" s="37" t="n"/>
      <c r="I205" s="38" t="n"/>
      <c r="J205" s="33" t="n">
        <v>0</v>
      </c>
    </row>
    <row r="206">
      <c r="B206" s="35" t="inlineStr">
        <is>
          <t>Werbung / Marketing</t>
        </is>
      </c>
      <c r="C206" s="25" t="inlineStr">
        <is>
          <t>XXX</t>
        </is>
      </c>
      <c r="D206" s="39" t="n"/>
      <c r="E206" s="40" t="n"/>
      <c r="F206" s="50" t="n">
        <v>0</v>
      </c>
      <c r="G206" s="54" t="inlineStr">
        <is>
          <t>XXX</t>
        </is>
      </c>
      <c r="H206" s="39" t="n"/>
      <c r="I206" s="40" t="n"/>
      <c r="J206" s="33" t="n">
        <v>0</v>
      </c>
    </row>
    <row r="207">
      <c r="B207" s="35" t="inlineStr">
        <is>
          <t>Personalbeschaffung</t>
        </is>
      </c>
      <c r="C207" s="25" t="inlineStr">
        <is>
          <t>XXX</t>
        </is>
      </c>
      <c r="D207" s="39" t="n"/>
      <c r="E207" s="40" t="n"/>
      <c r="F207" s="50" t="n">
        <v>0</v>
      </c>
      <c r="G207" s="54" t="inlineStr">
        <is>
          <t>XXX</t>
        </is>
      </c>
      <c r="H207" s="39" t="n"/>
      <c r="I207" s="40" t="n"/>
      <c r="J207" s="33" t="n">
        <v>0</v>
      </c>
    </row>
    <row r="208">
      <c r="B208" s="35" t="inlineStr">
        <is>
          <t>Planungskosten</t>
        </is>
      </c>
      <c r="C208" s="25" t="inlineStr">
        <is>
          <t>XXX</t>
        </is>
      </c>
      <c r="D208" s="39" t="n"/>
      <c r="E208" s="40" t="n"/>
      <c r="F208" s="50" t="n">
        <v>0</v>
      </c>
      <c r="G208" s="54" t="inlineStr">
        <is>
          <t>XXX</t>
        </is>
      </c>
      <c r="H208" s="39" t="n"/>
      <c r="I208" s="40" t="n"/>
      <c r="J208" s="33" t="n">
        <v>0</v>
      </c>
    </row>
    <row r="209">
      <c r="B209" s="35" t="inlineStr">
        <is>
          <t>Makler</t>
        </is>
      </c>
      <c r="C209" s="25" t="inlineStr">
        <is>
          <t>XXX</t>
        </is>
      </c>
      <c r="D209" s="39" t="n"/>
      <c r="E209" s="40" t="n"/>
      <c r="F209" s="50" t="n">
        <v>0</v>
      </c>
      <c r="G209" s="54" t="inlineStr">
        <is>
          <t>XXX</t>
        </is>
      </c>
      <c r="H209" s="39" t="n"/>
      <c r="I209" s="40" t="n"/>
      <c r="J209" s="33" t="n">
        <v>0</v>
      </c>
    </row>
    <row r="210">
      <c r="B210" s="35" t="inlineStr">
        <is>
          <t>[Platzhalter]</t>
        </is>
      </c>
      <c r="C210" s="25" t="inlineStr">
        <is>
          <t>XXX</t>
        </is>
      </c>
      <c r="D210" s="39" t="n"/>
      <c r="E210" s="40" t="n"/>
      <c r="F210" s="50" t="n">
        <v>0</v>
      </c>
      <c r="G210" s="54" t="inlineStr">
        <is>
          <t>XXX</t>
        </is>
      </c>
      <c r="H210" s="39" t="n"/>
      <c r="I210" s="40" t="n"/>
      <c r="J210" s="33" t="n">
        <v>0</v>
      </c>
    </row>
    <row r="211">
      <c r="B211" s="35" t="inlineStr">
        <is>
          <t>[Platzhalter]</t>
        </is>
      </c>
      <c r="C211" s="25" t="inlineStr">
        <is>
          <t>XXX</t>
        </is>
      </c>
      <c r="D211" s="39" t="n"/>
      <c r="E211" s="40" t="n"/>
      <c r="F211" s="50" t="n">
        <v>0</v>
      </c>
      <c r="G211" s="54" t="inlineStr">
        <is>
          <t>XXX</t>
        </is>
      </c>
      <c r="H211" s="39" t="n"/>
      <c r="I211" s="40" t="n"/>
      <c r="J211" s="33" t="n">
        <v>0</v>
      </c>
    </row>
    <row r="212">
      <c r="B212" s="35" t="inlineStr">
        <is>
          <t>[Platzhalter]</t>
        </is>
      </c>
      <c r="C212" s="25" t="inlineStr">
        <is>
          <t>XXX</t>
        </is>
      </c>
      <c r="D212" s="39" t="n"/>
      <c r="E212" s="40" t="n"/>
      <c r="F212" s="50" t="n">
        <v>0</v>
      </c>
      <c r="G212" s="54" t="inlineStr">
        <is>
          <t>XXX</t>
        </is>
      </c>
      <c r="H212" s="39" t="n"/>
      <c r="I212" s="40" t="n"/>
      <c r="J212" s="33" t="n">
        <v>0</v>
      </c>
    </row>
    <row r="213">
      <c r="B213" s="35" t="inlineStr">
        <is>
          <t>[Platzhalter]</t>
        </is>
      </c>
      <c r="C213" s="25" t="inlineStr">
        <is>
          <t>XXX</t>
        </is>
      </c>
      <c r="D213" s="39" t="n"/>
      <c r="E213" s="40" t="n"/>
      <c r="F213" s="50" t="n">
        <v>0</v>
      </c>
      <c r="G213" s="54" t="inlineStr">
        <is>
          <t>XXX</t>
        </is>
      </c>
      <c r="H213" s="39" t="n"/>
      <c r="I213" s="40" t="n"/>
      <c r="J213" s="33" t="n">
        <v>0</v>
      </c>
    </row>
    <row r="214">
      <c r="B214" s="35" t="inlineStr">
        <is>
          <t>[Platzhalter]</t>
        </is>
      </c>
      <c r="C214" s="25" t="inlineStr">
        <is>
          <t>XXX</t>
        </is>
      </c>
      <c r="D214" s="39" t="n"/>
      <c r="E214" s="40" t="n"/>
      <c r="F214" s="50" t="n">
        <v>0</v>
      </c>
      <c r="G214" s="54" t="inlineStr">
        <is>
          <t>XXX</t>
        </is>
      </c>
      <c r="H214" s="39" t="n"/>
      <c r="I214" s="40" t="n"/>
      <c r="J214" s="33" t="n">
        <v>0</v>
      </c>
    </row>
    <row r="215">
      <c r="B215" s="14" t="n"/>
      <c r="C215" s="15" t="n"/>
      <c r="D215" s="16" t="n"/>
      <c r="E215" s="17" t="n"/>
      <c r="F215" s="17" t="n"/>
      <c r="G215" s="67" t="n"/>
      <c r="H215" s="16" t="n"/>
      <c r="I215" s="17" t="n"/>
      <c r="J215" s="17" t="n"/>
    </row>
    <row r="216">
      <c r="B216" s="1" t="inlineStr">
        <is>
          <t>Summe</t>
        </is>
      </c>
      <c r="C216" s="18" t="n"/>
      <c r="D216" s="19" t="n"/>
      <c r="E216" s="20" t="n"/>
      <c r="F216" s="20">
        <f>+SUM(F205:F215)</f>
        <v/>
      </c>
      <c r="G216" s="68" t="n"/>
      <c r="H216" s="19" t="n"/>
      <c r="I216" s="20" t="n"/>
      <c r="J216" s="20">
        <f>+SUM(J205:J215)</f>
        <v/>
      </c>
    </row>
    <row r="217">
      <c r="B217" s="7" t="n"/>
      <c r="C217" s="8" t="n"/>
      <c r="D217" s="7" t="n"/>
      <c r="E217" s="7" t="n"/>
      <c r="F217" s="7" t="n"/>
      <c r="G217" s="55" t="n"/>
      <c r="H217" s="7" t="n"/>
      <c r="I217" s="7" t="n"/>
      <c r="J217" s="7" t="n"/>
    </row>
  </sheetData>
  <mergeCells count="4">
    <mergeCell ref="C24:F24"/>
    <mergeCell ref="C4:F4"/>
    <mergeCell ref="G24:J24"/>
    <mergeCell ref="G4:J4"/>
  </mergeCells>
  <pageMargins left="0.5118110236220472" right="0.5118110236220472" top="0.7874015748031497" bottom="0.7874015748031497" header="0.3149606299212598" footer="0.3149606299212598"/>
  <pageSetup orientation="portrait" paperSize="9" scale="9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Morscheck, Desiree</dc:creator>
  <dcterms:created xsi:type="dcterms:W3CDTF">2026-03-11T11:03:37Z</dcterms:created>
  <dcterms:modified xsi:type="dcterms:W3CDTF">2026-08-19T15:29:19Z</dcterms:modified>
  <cp:lastModifiedBy>Neal, Jeffrey</cp:lastModifiedBy>
  <cp:lastPrinted>2026-04-29T12:17:51Z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0x010100C03FC3E19674CE4E8117F225B4041376</vt:lpwstr>
  </property>
</Properties>
</file>